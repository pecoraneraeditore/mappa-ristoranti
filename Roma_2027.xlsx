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9C45C80B-3F51-4CDB-84DF-30067BF59349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golose'!$A$7:$Q$478</definedName>
    <definedName name="_xlnm.Print_Area" localSheetId="0">'Tavole e pause golose'!$D$7:$I$173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77" i="6" l="1"/>
  <c r="T477" i="6"/>
  <c r="U477" i="6"/>
  <c r="V477" i="6"/>
  <c r="W477" i="6"/>
  <c r="X477" i="6"/>
  <c r="Y477" i="6"/>
  <c r="Z477" i="6"/>
  <c r="AA477" i="6"/>
  <c r="AB477" i="6"/>
  <c r="AD477" i="6"/>
  <c r="AE477" i="6"/>
  <c r="AF477" i="6"/>
  <c r="AG477" i="6"/>
  <c r="AH477" i="6"/>
  <c r="AI477" i="6"/>
  <c r="S478" i="6"/>
  <c r="T478" i="6"/>
  <c r="U478" i="6"/>
  <c r="V478" i="6"/>
  <c r="W478" i="6"/>
  <c r="X478" i="6"/>
  <c r="Y478" i="6"/>
  <c r="Z478" i="6"/>
  <c r="AA478" i="6"/>
  <c r="AB478" i="6"/>
  <c r="AD478" i="6"/>
  <c r="AE478" i="6"/>
  <c r="AF478" i="6"/>
  <c r="AG478" i="6"/>
  <c r="AH478" i="6"/>
  <c r="AI478" i="6"/>
  <c r="AI476" i="6"/>
  <c r="AH476" i="6"/>
  <c r="AG476" i="6"/>
  <c r="AF476" i="6"/>
  <c r="AE476" i="6"/>
  <c r="AD476" i="6"/>
  <c r="AI475" i="6"/>
  <c r="AH475" i="6"/>
  <c r="AG475" i="6"/>
  <c r="AF475" i="6"/>
  <c r="AE475" i="6"/>
  <c r="AD475" i="6"/>
  <c r="AI474" i="6"/>
  <c r="AH474" i="6"/>
  <c r="AG474" i="6"/>
  <c r="AF474" i="6"/>
  <c r="AE474" i="6"/>
  <c r="AD474" i="6"/>
  <c r="AI473" i="6"/>
  <c r="AH473" i="6"/>
  <c r="AG473" i="6"/>
  <c r="AF473" i="6"/>
  <c r="AE473" i="6"/>
  <c r="AD473" i="6"/>
  <c r="AI472" i="6"/>
  <c r="AH472" i="6"/>
  <c r="AG472" i="6"/>
  <c r="AF472" i="6"/>
  <c r="AE472" i="6"/>
  <c r="AD472" i="6"/>
  <c r="AI471" i="6"/>
  <c r="AH471" i="6"/>
  <c r="AG471" i="6"/>
  <c r="AF471" i="6"/>
  <c r="AE471" i="6"/>
  <c r="AD471" i="6"/>
  <c r="AI470" i="6"/>
  <c r="AH470" i="6"/>
  <c r="AG470" i="6"/>
  <c r="AF470" i="6"/>
  <c r="AE470" i="6"/>
  <c r="AD470" i="6"/>
  <c r="AI469" i="6"/>
  <c r="AH469" i="6"/>
  <c r="AG469" i="6"/>
  <c r="AF469" i="6"/>
  <c r="AE469" i="6"/>
  <c r="AD469" i="6"/>
  <c r="AI259" i="6"/>
  <c r="AH259" i="6"/>
  <c r="AG259" i="6"/>
  <c r="AF259" i="6"/>
  <c r="AE259" i="6"/>
  <c r="AD259" i="6"/>
  <c r="AI258" i="6"/>
  <c r="AH258" i="6"/>
  <c r="AG258" i="6"/>
  <c r="AF258" i="6"/>
  <c r="AE258" i="6"/>
  <c r="AD258" i="6"/>
  <c r="S476" i="6"/>
  <c r="T476" i="6"/>
  <c r="U476" i="6"/>
  <c r="V476" i="6"/>
  <c r="W476" i="6"/>
  <c r="X476" i="6"/>
  <c r="Y476" i="6"/>
  <c r="Z476" i="6"/>
  <c r="AA476" i="6"/>
  <c r="AB476" i="6"/>
  <c r="S475" i="6"/>
  <c r="T475" i="6"/>
  <c r="U475" i="6"/>
  <c r="V475" i="6"/>
  <c r="W475" i="6"/>
  <c r="X475" i="6"/>
  <c r="Y475" i="6"/>
  <c r="Z475" i="6"/>
  <c r="AA475" i="6"/>
  <c r="AB475" i="6"/>
  <c r="S474" i="6"/>
  <c r="T474" i="6"/>
  <c r="U474" i="6"/>
  <c r="V474" i="6"/>
  <c r="W474" i="6"/>
  <c r="X474" i="6"/>
  <c r="Y474" i="6"/>
  <c r="Z474" i="6"/>
  <c r="AA474" i="6"/>
  <c r="AB474" i="6"/>
  <c r="S473" i="6"/>
  <c r="T473" i="6"/>
  <c r="U473" i="6"/>
  <c r="V473" i="6"/>
  <c r="W473" i="6"/>
  <c r="X473" i="6"/>
  <c r="Y473" i="6"/>
  <c r="Z473" i="6"/>
  <c r="AA473" i="6"/>
  <c r="AB473" i="6"/>
  <c r="S472" i="6"/>
  <c r="T472" i="6"/>
  <c r="U472" i="6"/>
  <c r="V472" i="6"/>
  <c r="W472" i="6"/>
  <c r="X472" i="6"/>
  <c r="Y472" i="6"/>
  <c r="Z472" i="6"/>
  <c r="AA472" i="6"/>
  <c r="AB472" i="6"/>
  <c r="S471" i="6"/>
  <c r="T471" i="6"/>
  <c r="U471" i="6"/>
  <c r="V471" i="6"/>
  <c r="W471" i="6"/>
  <c r="X471" i="6"/>
  <c r="Y471" i="6"/>
  <c r="Z471" i="6"/>
  <c r="AA471" i="6"/>
  <c r="AB471" i="6"/>
  <c r="S470" i="6"/>
  <c r="S469" i="6"/>
  <c r="AD188" i="6"/>
  <c r="AE188" i="6"/>
  <c r="AF188" i="6"/>
  <c r="AD189" i="6"/>
  <c r="AE189" i="6"/>
  <c r="AF189" i="6"/>
  <c r="S189" i="6"/>
  <c r="AG189" i="6"/>
  <c r="AH189" i="6"/>
  <c r="AI189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320" i="6"/>
  <c r="AD320" i="6"/>
  <c r="AE320" i="6"/>
  <c r="AF320" i="6"/>
  <c r="AG320" i="6"/>
  <c r="AH320" i="6"/>
  <c r="AI320" i="6"/>
  <c r="AD357" i="6"/>
  <c r="AE357" i="6"/>
  <c r="AF357" i="6"/>
  <c r="AG357" i="6"/>
  <c r="AH357" i="6"/>
  <c r="AI357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S358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AD448" i="6"/>
  <c r="AE448" i="6"/>
  <c r="AD449" i="6"/>
  <c r="AE449" i="6"/>
  <c r="S448" i="6"/>
  <c r="AF448" i="6"/>
  <c r="AG448" i="6"/>
  <c r="AH448" i="6"/>
  <c r="AI448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AD457" i="6"/>
  <c r="AE457" i="6"/>
  <c r="AD458" i="6"/>
  <c r="AE458" i="6"/>
  <c r="AD459" i="6"/>
  <c r="AE459" i="6"/>
  <c r="AD460" i="6"/>
  <c r="AE460" i="6"/>
  <c r="S458" i="6"/>
  <c r="AF458" i="6"/>
  <c r="AG458" i="6"/>
  <c r="AH458" i="6"/>
  <c r="AI458" i="6"/>
  <c r="AD461" i="6"/>
  <c r="AE461" i="6"/>
  <c r="S461" i="6"/>
  <c r="AF461" i="6"/>
  <c r="AG461" i="6"/>
  <c r="AH461" i="6"/>
  <c r="AI461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G188" i="6"/>
  <c r="AH188" i="6"/>
  <c r="AI188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S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S359" i="6"/>
  <c r="S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F457" i="6"/>
  <c r="AG457" i="6"/>
  <c r="AH457" i="6"/>
  <c r="AI457" i="6"/>
  <c r="S459" i="6"/>
  <c r="AF459" i="6"/>
  <c r="AG459" i="6"/>
  <c r="AH459" i="6"/>
  <c r="AI459" i="6"/>
  <c r="S460" i="6"/>
  <c r="AF460" i="6"/>
  <c r="AG460" i="6"/>
  <c r="AH460" i="6"/>
  <c r="AI460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26" i="6" s="1"/>
  <c r="T470" i="6" l="1"/>
  <c r="T469" i="6"/>
  <c r="T189" i="6"/>
  <c r="T420" i="6"/>
  <c r="T419" i="6"/>
  <c r="T418" i="6"/>
  <c r="T417" i="6"/>
  <c r="T416" i="6"/>
  <c r="T98" i="6"/>
  <c r="T97" i="6"/>
  <c r="T96" i="6"/>
  <c r="T320" i="6"/>
  <c r="T358" i="6"/>
  <c r="T32" i="6"/>
  <c r="T86" i="6"/>
  <c r="T332" i="6"/>
  <c r="T363" i="6"/>
  <c r="T294" i="6"/>
  <c r="T185" i="6"/>
  <c r="T184" i="6"/>
  <c r="T64" i="6"/>
  <c r="T374" i="6"/>
  <c r="T373" i="6"/>
  <c r="T372" i="6"/>
  <c r="T448" i="6"/>
  <c r="T266" i="6"/>
  <c r="T237" i="6"/>
  <c r="T267" i="6"/>
  <c r="T215" i="6"/>
  <c r="T214" i="6"/>
  <c r="T351" i="6"/>
  <c r="T336" i="6"/>
  <c r="T140" i="6"/>
  <c r="T163" i="6"/>
  <c r="T103" i="6"/>
  <c r="T141" i="6"/>
  <c r="T316" i="6"/>
  <c r="T102" i="6"/>
  <c r="T93" i="6"/>
  <c r="T92" i="6"/>
  <c r="T91" i="6"/>
  <c r="T291" i="6"/>
  <c r="T238" i="6"/>
  <c r="T367" i="6"/>
  <c r="T352" i="6"/>
  <c r="T315" i="6"/>
  <c r="T287" i="6"/>
  <c r="T264" i="6"/>
  <c r="T236" i="6"/>
  <c r="T213" i="6"/>
  <c r="T182" i="6"/>
  <c r="T70" i="6"/>
  <c r="T139" i="6"/>
  <c r="T99" i="6"/>
  <c r="T371" i="6"/>
  <c r="T338" i="6"/>
  <c r="T314" i="6"/>
  <c r="T286" i="6"/>
  <c r="T263" i="6"/>
  <c r="T235" i="6"/>
  <c r="T210" i="6"/>
  <c r="T181" i="6"/>
  <c r="T131" i="6"/>
  <c r="T65" i="6"/>
  <c r="T285" i="6"/>
  <c r="T180" i="6"/>
  <c r="T205" i="6"/>
  <c r="T388" i="6"/>
  <c r="T68" i="6"/>
  <c r="T203" i="6"/>
  <c r="T360" i="6"/>
  <c r="T396" i="6"/>
  <c r="T326" i="6"/>
  <c r="T303" i="6"/>
  <c r="T280" i="6"/>
  <c r="T79" i="6"/>
  <c r="T229" i="6"/>
  <c r="T202" i="6"/>
  <c r="T89" i="6"/>
  <c r="T155" i="6"/>
  <c r="T123" i="6"/>
  <c r="T88" i="6"/>
  <c r="T126" i="6"/>
  <c r="T231" i="6"/>
  <c r="T342" i="6"/>
  <c r="T364" i="6"/>
  <c r="T404" i="6"/>
  <c r="T250" i="6"/>
  <c r="T302" i="6"/>
  <c r="T279" i="6"/>
  <c r="T244" i="6"/>
  <c r="T226" i="6"/>
  <c r="T201" i="6"/>
  <c r="T168" i="6"/>
  <c r="T154" i="6"/>
  <c r="T122" i="6"/>
  <c r="T49" i="6"/>
  <c r="T324" i="6"/>
  <c r="T127" i="6"/>
  <c r="T259" i="6"/>
  <c r="T325" i="6"/>
  <c r="T255" i="6"/>
  <c r="T173" i="6"/>
  <c r="T392" i="6"/>
  <c r="T301" i="6"/>
  <c r="T245" i="6"/>
  <c r="T222" i="6"/>
  <c r="T199" i="6"/>
  <c r="T161" i="6"/>
  <c r="T152" i="6"/>
  <c r="T120" i="6"/>
  <c r="T48" i="6"/>
  <c r="T376" i="6"/>
  <c r="T262" i="6"/>
  <c r="T60" i="6"/>
  <c r="T233" i="6"/>
  <c r="T283" i="6"/>
  <c r="T171" i="6"/>
  <c r="T368" i="6"/>
  <c r="T327" i="6"/>
  <c r="T278" i="6"/>
  <c r="T350" i="6"/>
  <c r="T248" i="6"/>
  <c r="T300" i="6"/>
  <c r="T275" i="6"/>
  <c r="T246" i="6"/>
  <c r="T221" i="6"/>
  <c r="T198" i="6"/>
  <c r="T169" i="6"/>
  <c r="T151" i="6"/>
  <c r="T119" i="6"/>
  <c r="T46" i="6"/>
  <c r="T312" i="6"/>
  <c r="T83" i="6"/>
  <c r="T380" i="6"/>
  <c r="T284" i="6"/>
  <c r="T67" i="6"/>
  <c r="T310" i="6"/>
  <c r="T125" i="6"/>
  <c r="T124" i="6"/>
  <c r="T333" i="6"/>
  <c r="T377" i="6"/>
  <c r="T334" i="6"/>
  <c r="T344" i="6"/>
  <c r="T299" i="6"/>
  <c r="T271" i="6"/>
  <c r="T170" i="6"/>
  <c r="T220" i="6"/>
  <c r="T190" i="6"/>
  <c r="T69" i="6"/>
  <c r="T150" i="6"/>
  <c r="T115" i="6"/>
  <c r="T45" i="6"/>
  <c r="T234" i="6"/>
  <c r="T341" i="6"/>
  <c r="T177" i="6"/>
  <c r="T204" i="6"/>
  <c r="T356" i="6"/>
  <c r="T307" i="6"/>
  <c r="T230" i="6"/>
  <c r="T165" i="6"/>
  <c r="T58" i="6"/>
  <c r="T321" i="6"/>
  <c r="T298" i="6"/>
  <c r="T162" i="6"/>
  <c r="T188" i="6"/>
  <c r="T147" i="6"/>
  <c r="T389" i="6"/>
  <c r="T253" i="6"/>
  <c r="T296" i="6"/>
  <c r="T269" i="6"/>
  <c r="T172" i="6"/>
  <c r="T218" i="6"/>
  <c r="T187" i="6"/>
  <c r="T90" i="6"/>
  <c r="T143" i="6"/>
  <c r="T106" i="6"/>
  <c r="T41" i="6"/>
  <c r="T206" i="6"/>
  <c r="T311" i="6"/>
  <c r="T84" i="6"/>
  <c r="T402" i="6"/>
  <c r="T157" i="6"/>
  <c r="T282" i="6"/>
  <c r="T156" i="6"/>
  <c r="T385" i="6"/>
  <c r="T252" i="6"/>
  <c r="T270" i="6"/>
  <c r="T219" i="6"/>
  <c r="T59" i="6"/>
  <c r="T111" i="6"/>
  <c r="T43" i="6"/>
  <c r="T393" i="6"/>
  <c r="T335" i="6"/>
  <c r="T254" i="6"/>
  <c r="T295" i="6"/>
  <c r="T268" i="6"/>
  <c r="T242" i="6"/>
  <c r="T217" i="6"/>
  <c r="T186" i="6"/>
  <c r="T73" i="6"/>
  <c r="T142" i="6"/>
  <c r="T104" i="6"/>
  <c r="T38" i="6"/>
  <c r="T33" i="6"/>
  <c r="T61" i="6"/>
  <c r="T55" i="6"/>
  <c r="T138" i="6"/>
  <c r="T110" i="6"/>
  <c r="T78" i="6"/>
  <c r="T31" i="6"/>
  <c r="T197" i="6"/>
  <c r="T166" i="6"/>
  <c r="T159" i="6"/>
  <c r="T136" i="6"/>
  <c r="T109" i="6"/>
  <c r="T63" i="6"/>
  <c r="T30" i="6"/>
  <c r="T194" i="6"/>
  <c r="T167" i="6"/>
  <c r="T158" i="6"/>
  <c r="T135" i="6"/>
  <c r="T108" i="6"/>
  <c r="T54" i="6"/>
  <c r="T29" i="6"/>
  <c r="T134" i="6"/>
  <c r="T107" i="6"/>
  <c r="T50" i="6"/>
  <c r="T27" i="6"/>
  <c r="T26" i="6"/>
  <c r="T458" i="6"/>
  <c r="T25" i="6"/>
  <c r="T47" i="6"/>
  <c r="T17" i="6"/>
  <c r="T16" i="6"/>
  <c r="T15" i="6"/>
  <c r="T14" i="6"/>
  <c r="T42" i="6"/>
  <c r="T9" i="6"/>
  <c r="T11" i="6"/>
  <c r="T118" i="6"/>
  <c r="T81" i="6"/>
  <c r="T34" i="6"/>
  <c r="T22" i="6"/>
  <c r="T18" i="6"/>
  <c r="T13" i="6"/>
  <c r="U7" i="6"/>
  <c r="T428" i="6"/>
  <c r="T369" i="6"/>
  <c r="T461" i="6"/>
  <c r="T381" i="6"/>
  <c r="T384" i="6"/>
  <c r="T249" i="6"/>
  <c r="T343" i="6"/>
  <c r="T313" i="6"/>
  <c r="T297" i="6"/>
  <c r="T281" i="6"/>
  <c r="T265" i="6"/>
  <c r="T247" i="6"/>
  <c r="T232" i="6"/>
  <c r="T216" i="6"/>
  <c r="T200" i="6"/>
  <c r="T183" i="6"/>
  <c r="T82" i="6"/>
  <c r="T57" i="6"/>
  <c r="T153" i="6"/>
  <c r="T137" i="6"/>
  <c r="T121" i="6"/>
  <c r="T105" i="6"/>
  <c r="T94" i="6"/>
  <c r="T44" i="6"/>
  <c r="T28" i="6"/>
  <c r="T12" i="6"/>
  <c r="T467" i="6"/>
  <c r="T397" i="6"/>
  <c r="T400" i="6"/>
  <c r="T337" i="6"/>
  <c r="T328" i="6"/>
  <c r="T309" i="6"/>
  <c r="T293" i="6"/>
  <c r="T277" i="6"/>
  <c r="T261" i="6"/>
  <c r="T164" i="6"/>
  <c r="T228" i="6"/>
  <c r="T212" i="6"/>
  <c r="T196" i="6"/>
  <c r="T179" i="6"/>
  <c r="T95" i="6"/>
  <c r="T149" i="6"/>
  <c r="T133" i="6"/>
  <c r="T117" i="6"/>
  <c r="T101" i="6"/>
  <c r="T56" i="6"/>
  <c r="T40" i="6"/>
  <c r="T24" i="6"/>
  <c r="T10" i="6"/>
  <c r="T462" i="6"/>
  <c r="T401" i="6"/>
  <c r="T405" i="6"/>
  <c r="T322" i="6"/>
  <c r="T251" i="6"/>
  <c r="T308" i="6"/>
  <c r="T292" i="6"/>
  <c r="T276" i="6"/>
  <c r="T260" i="6"/>
  <c r="T243" i="6"/>
  <c r="T227" i="6"/>
  <c r="T211" i="6"/>
  <c r="T195" i="6"/>
  <c r="T178" i="6"/>
  <c r="T85" i="6"/>
  <c r="T80" i="6"/>
  <c r="T148" i="6"/>
  <c r="T132" i="6"/>
  <c r="T116" i="6"/>
  <c r="T100" i="6"/>
  <c r="T72" i="6"/>
  <c r="T39" i="6"/>
  <c r="T23" i="6"/>
  <c r="T348" i="6"/>
  <c r="T387" i="6"/>
  <c r="T433" i="6"/>
  <c r="AD6" i="6"/>
  <c r="F3" i="6" s="1"/>
  <c r="T408" i="6"/>
  <c r="T406" i="6"/>
  <c r="T347" i="6"/>
  <c r="T339" i="6"/>
  <c r="T319" i="6"/>
  <c r="T306" i="6"/>
  <c r="T290" i="6"/>
  <c r="T274" i="6"/>
  <c r="T258" i="6"/>
  <c r="T241" i="6"/>
  <c r="T225" i="6"/>
  <c r="T209" i="6"/>
  <c r="T193" i="6"/>
  <c r="T176" i="6"/>
  <c r="T66" i="6"/>
  <c r="T77" i="6"/>
  <c r="T146" i="6"/>
  <c r="T130" i="6"/>
  <c r="T114" i="6"/>
  <c r="T87" i="6"/>
  <c r="T53" i="6"/>
  <c r="T37" i="6"/>
  <c r="T21" i="6"/>
  <c r="T444" i="6"/>
  <c r="T354" i="6"/>
  <c r="T330" i="6"/>
  <c r="T331" i="6"/>
  <c r="T323" i="6"/>
  <c r="T318" i="6"/>
  <c r="T305" i="6"/>
  <c r="T289" i="6"/>
  <c r="T273" i="6"/>
  <c r="T257" i="6"/>
  <c r="T240" i="6"/>
  <c r="T224" i="6"/>
  <c r="T208" i="6"/>
  <c r="T192" i="6"/>
  <c r="T175" i="6"/>
  <c r="T62" i="6"/>
  <c r="T145" i="6"/>
  <c r="T129" i="6"/>
  <c r="T113" i="6"/>
  <c r="T52" i="6"/>
  <c r="T36" i="6"/>
  <c r="T20" i="6"/>
  <c r="T345" i="6"/>
  <c r="T355" i="6"/>
  <c r="T349" i="6"/>
  <c r="T340" i="6"/>
  <c r="T317" i="6"/>
  <c r="T304" i="6"/>
  <c r="T288" i="6"/>
  <c r="T272" i="6"/>
  <c r="T256" i="6"/>
  <c r="T239" i="6"/>
  <c r="T223" i="6"/>
  <c r="T207" i="6"/>
  <c r="T191" i="6"/>
  <c r="T174" i="6"/>
  <c r="T76" i="6"/>
  <c r="T160" i="6"/>
  <c r="T144" i="6"/>
  <c r="T128" i="6"/>
  <c r="T112" i="6"/>
  <c r="T71" i="6"/>
  <c r="T51" i="6"/>
  <c r="T35" i="6"/>
  <c r="T19" i="6"/>
  <c r="T75" i="6"/>
  <c r="T74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56" i="6"/>
  <c r="T440" i="6"/>
  <c r="T424" i="6"/>
  <c r="T465" i="6"/>
  <c r="T447" i="6"/>
  <c r="T431" i="6"/>
  <c r="T414" i="6"/>
  <c r="T391" i="6"/>
  <c r="T359" i="6"/>
  <c r="T454" i="6"/>
  <c r="T438" i="6"/>
  <c r="T422" i="6"/>
  <c r="T346" i="6"/>
  <c r="T463" i="6"/>
  <c r="T445" i="6"/>
  <c r="T429" i="6"/>
  <c r="T412" i="6"/>
  <c r="T395" i="6"/>
  <c r="T378" i="6"/>
  <c r="T362" i="6"/>
  <c r="T452" i="6"/>
  <c r="T436" i="6"/>
  <c r="T410" i="6"/>
  <c r="T460" i="6"/>
  <c r="T443" i="6"/>
  <c r="T427" i="6"/>
  <c r="T399" i="6"/>
  <c r="T382" i="6"/>
  <c r="T366" i="6"/>
  <c r="T468" i="6"/>
  <c r="T450" i="6"/>
  <c r="T434" i="6"/>
  <c r="T457" i="6"/>
  <c r="T441" i="6"/>
  <c r="T425" i="6"/>
  <c r="T386" i="6"/>
  <c r="T370" i="6"/>
  <c r="T353" i="6"/>
  <c r="T466" i="6"/>
  <c r="T449" i="6"/>
  <c r="T432" i="6"/>
  <c r="T415" i="6"/>
  <c r="T403" i="6"/>
  <c r="T455" i="6"/>
  <c r="T439" i="6"/>
  <c r="T423" i="6"/>
  <c r="T390" i="6"/>
  <c r="T375" i="6"/>
  <c r="T357" i="6"/>
  <c r="T464" i="6"/>
  <c r="T446" i="6"/>
  <c r="T430" i="6"/>
  <c r="T413" i="6"/>
  <c r="T453" i="6"/>
  <c r="T437" i="6"/>
  <c r="T421" i="6"/>
  <c r="T411" i="6"/>
  <c r="T407" i="6"/>
  <c r="T394" i="6"/>
  <c r="T379" i="6"/>
  <c r="T361" i="6"/>
  <c r="T409" i="6"/>
  <c r="T329" i="6"/>
  <c r="T451" i="6"/>
  <c r="T435" i="6"/>
  <c r="T398" i="6"/>
  <c r="T383" i="6"/>
  <c r="T365" i="6"/>
  <c r="T459" i="6"/>
  <c r="T442" i="6"/>
  <c r="U189" i="6" l="1"/>
  <c r="U469" i="6"/>
  <c r="U470" i="6"/>
  <c r="U416" i="6"/>
  <c r="U417" i="6"/>
  <c r="U418" i="6"/>
  <c r="U419" i="6"/>
  <c r="U420" i="6"/>
  <c r="U320" i="6"/>
  <c r="U96" i="6"/>
  <c r="U97" i="6"/>
  <c r="U98" i="6"/>
  <c r="U13" i="6"/>
  <c r="U358" i="6"/>
  <c r="U331" i="6"/>
  <c r="U448" i="6"/>
  <c r="U372" i="6"/>
  <c r="U373" i="6"/>
  <c r="U374" i="6"/>
  <c r="U458" i="6"/>
  <c r="U91" i="6"/>
  <c r="U92" i="6"/>
  <c r="U93" i="6"/>
  <c r="U142" i="6"/>
  <c r="U107" i="6"/>
  <c r="U288" i="6"/>
  <c r="U180" i="6"/>
  <c r="U446" i="6"/>
  <c r="U410" i="6"/>
  <c r="U450" i="6"/>
  <c r="U289" i="6"/>
  <c r="U218" i="6"/>
  <c r="U228" i="6"/>
  <c r="U307" i="6"/>
  <c r="U171" i="6"/>
  <c r="U131" i="6"/>
  <c r="U271" i="6"/>
  <c r="U146" i="6"/>
  <c r="U274" i="6"/>
  <c r="U100" i="6"/>
  <c r="U329" i="6"/>
  <c r="U317" i="6"/>
  <c r="U76" i="6"/>
  <c r="U293" i="6"/>
  <c r="U161" i="6"/>
  <c r="U381" i="6"/>
  <c r="U108" i="6"/>
  <c r="U105" i="6"/>
  <c r="U328" i="6"/>
  <c r="U173" i="6"/>
  <c r="U204" i="6"/>
  <c r="U118" i="6"/>
  <c r="U322" i="6"/>
  <c r="U198" i="6"/>
  <c r="U291" i="6"/>
  <c r="U176" i="6"/>
  <c r="U156" i="6"/>
  <c r="U45" i="6"/>
  <c r="U22" i="6"/>
  <c r="U186" i="6"/>
  <c r="U36" i="6"/>
  <c r="U24" i="6"/>
  <c r="U52" i="6"/>
  <c r="U295" i="6"/>
  <c r="U121" i="6"/>
  <c r="U225" i="6"/>
  <c r="U201" i="6"/>
  <c r="U463" i="6"/>
  <c r="U468" i="6"/>
  <c r="U453" i="6"/>
  <c r="U20" i="6"/>
  <c r="U438" i="6"/>
  <c r="U319" i="6"/>
  <c r="U70" i="6"/>
  <c r="U452" i="6"/>
  <c r="U444" i="6"/>
  <c r="U233" i="6"/>
  <c r="U151" i="6"/>
  <c r="U311" i="6"/>
  <c r="U154" i="6"/>
  <c r="U237" i="6"/>
  <c r="U227" i="6"/>
  <c r="U110" i="6"/>
  <c r="U197" i="6"/>
  <c r="U229" i="6"/>
  <c r="V7" i="6"/>
  <c r="U27" i="6"/>
  <c r="U455" i="6"/>
  <c r="U244" i="6"/>
  <c r="U436" i="6"/>
  <c r="U457" i="6"/>
  <c r="U21" i="6"/>
  <c r="U109" i="6"/>
  <c r="U19" i="6"/>
  <c r="U68" i="6"/>
  <c r="U407" i="6"/>
  <c r="U137" i="6"/>
  <c r="U339" i="6"/>
  <c r="U213" i="6"/>
  <c r="U347" i="6"/>
  <c r="U77" i="6"/>
  <c r="U263" i="6"/>
  <c r="U203" i="6"/>
  <c r="U279" i="6"/>
  <c r="U443" i="6"/>
  <c r="U454" i="6"/>
  <c r="U56" i="6"/>
  <c r="U35" i="6"/>
  <c r="U104" i="6"/>
  <c r="U72" i="6"/>
  <c r="U139" i="6"/>
  <c r="U130" i="6"/>
  <c r="U132" i="6"/>
  <c r="U330" i="6"/>
  <c r="U157" i="6"/>
  <c r="U174" i="6"/>
  <c r="U267" i="6"/>
  <c r="U433" i="6"/>
  <c r="U9" i="6"/>
  <c r="U67" i="6"/>
  <c r="U170" i="6"/>
  <c r="U150" i="6"/>
  <c r="U106" i="6"/>
  <c r="U11" i="6"/>
  <c r="U285" i="6"/>
  <c r="U348" i="6"/>
  <c r="U188" i="6"/>
  <c r="U431" i="6"/>
  <c r="U191" i="6"/>
  <c r="U75" i="6"/>
  <c r="U287" i="6"/>
  <c r="U424" i="6"/>
  <c r="U270" i="6"/>
  <c r="U178" i="6"/>
  <c r="U30" i="6"/>
  <c r="U437" i="6"/>
  <c r="U425" i="6"/>
  <c r="U464" i="6"/>
  <c r="U411" i="6"/>
  <c r="U141" i="6"/>
  <c r="U427" i="6"/>
  <c r="U10" i="6"/>
  <c r="U111" i="6"/>
  <c r="U23" i="6"/>
  <c r="U408" i="6"/>
  <c r="U155" i="6"/>
  <c r="U462" i="6"/>
  <c r="U102" i="6"/>
  <c r="U269" i="6"/>
  <c r="U74" i="6"/>
  <c r="U235" i="6"/>
  <c r="U158" i="6"/>
  <c r="U405" i="6"/>
  <c r="U83" i="6"/>
  <c r="U134" i="6"/>
  <c r="U415" i="6"/>
  <c r="U117" i="6"/>
  <c r="U148" i="6"/>
  <c r="U25" i="6"/>
  <c r="U301" i="6"/>
  <c r="U412" i="6"/>
  <c r="U205" i="6"/>
  <c r="U207" i="6"/>
  <c r="U306" i="6"/>
  <c r="U175" i="6"/>
  <c r="U309" i="6"/>
  <c r="U206" i="6"/>
  <c r="U58" i="6"/>
  <c r="U466" i="6"/>
  <c r="U123" i="6"/>
  <c r="U61" i="6"/>
  <c r="U8" i="6"/>
  <c r="U428" i="6"/>
  <c r="U349" i="6"/>
  <c r="U40" i="6"/>
  <c r="U219" i="6"/>
  <c r="U442" i="6"/>
  <c r="U86" i="6"/>
  <c r="U84" i="6"/>
  <c r="U460" i="6"/>
  <c r="U414" i="6"/>
  <c r="U459" i="6"/>
  <c r="U51" i="6"/>
  <c r="U88" i="6"/>
  <c r="U406" i="6"/>
  <c r="U101" i="6"/>
  <c r="U413" i="6"/>
  <c r="U251" i="6"/>
  <c r="U183" i="6"/>
  <c r="U167" i="6"/>
  <c r="U41" i="6"/>
  <c r="U163" i="6"/>
  <c r="U221" i="6"/>
  <c r="U447" i="6"/>
  <c r="U223" i="6"/>
  <c r="U253" i="6"/>
  <c r="U199" i="6"/>
  <c r="U364" i="6"/>
  <c r="U172" i="6"/>
  <c r="U403" i="6"/>
  <c r="U243" i="6"/>
  <c r="U80" i="6"/>
  <c r="U422" i="6"/>
  <c r="U441" i="6"/>
  <c r="U43" i="6"/>
  <c r="U38" i="6"/>
  <c r="U59" i="6"/>
  <c r="U54" i="6"/>
  <c r="U162" i="6"/>
  <c r="U467" i="6"/>
  <c r="U451" i="6"/>
  <c r="U126" i="6"/>
  <c r="U430" i="6"/>
  <c r="U216" i="6"/>
  <c r="U434" i="6"/>
  <c r="U185" i="6"/>
  <c r="U73" i="6"/>
  <c r="U465" i="6"/>
  <c r="U257" i="6"/>
  <c r="U394" i="6"/>
  <c r="U231" i="6"/>
  <c r="U272" i="6"/>
  <c r="U16" i="6"/>
  <c r="U208" i="6"/>
  <c r="U439" i="6"/>
  <c r="U29" i="6"/>
  <c r="U164" i="6"/>
  <c r="U426" i="6"/>
  <c r="U94" i="6"/>
  <c r="U435" i="6"/>
  <c r="U18" i="6"/>
  <c r="U432" i="6"/>
  <c r="U200" i="6"/>
  <c r="U133" i="6"/>
  <c r="U57" i="6"/>
  <c r="U429" i="6"/>
  <c r="U346" i="6"/>
  <c r="U247" i="6"/>
  <c r="U340" i="6"/>
  <c r="U226" i="6"/>
  <c r="U15" i="6"/>
  <c r="U421" i="6"/>
  <c r="U152" i="6"/>
  <c r="U423" i="6"/>
  <c r="U449" i="6"/>
  <c r="U127" i="6"/>
  <c r="U202" i="6"/>
  <c r="U89" i="6"/>
  <c r="U445" i="6"/>
  <c r="U273" i="6"/>
  <c r="U78" i="6"/>
  <c r="U268" i="6"/>
  <c r="U397" i="6"/>
  <c r="U179" i="6"/>
  <c r="U49" i="6"/>
  <c r="U87" i="6"/>
  <c r="U116" i="6"/>
  <c r="U292" i="6"/>
  <c r="U366" i="6"/>
  <c r="U119" i="6"/>
  <c r="U128" i="6"/>
  <c r="U290" i="6"/>
  <c r="U310" i="6"/>
  <c r="U383" i="6"/>
  <c r="U312" i="6"/>
  <c r="U187" i="6"/>
  <c r="U362" i="6"/>
  <c r="U308" i="6"/>
  <c r="U345" i="6"/>
  <c r="U409" i="6"/>
  <c r="U399" i="6"/>
  <c r="U278" i="6"/>
  <c r="V461" i="6"/>
  <c r="U361" i="6"/>
  <c r="U241" i="6"/>
  <c r="U379" i="6"/>
  <c r="U252" i="6"/>
  <c r="U338" i="6"/>
  <c r="U440" i="6"/>
  <c r="U456" i="6"/>
  <c r="U298" i="6"/>
  <c r="U378" i="6"/>
  <c r="U395" i="6"/>
  <c r="U323" i="6"/>
  <c r="U365" i="6"/>
  <c r="U316" i="6"/>
  <c r="U44" i="6"/>
  <c r="U334" i="6"/>
  <c r="U380" i="6"/>
  <c r="U382" i="6"/>
  <c r="U343" i="6"/>
  <c r="U42" i="6"/>
  <c r="U321" i="6"/>
  <c r="U71" i="6"/>
  <c r="U363" i="6"/>
  <c r="U47" i="6"/>
  <c r="U14" i="6"/>
  <c r="U398" i="6"/>
  <c r="U354" i="6"/>
  <c r="U69" i="6"/>
  <c r="U12" i="6"/>
  <c r="U103" i="6"/>
  <c r="U396" i="6"/>
  <c r="U177" i="6"/>
  <c r="U48" i="6"/>
  <c r="U332" i="6"/>
  <c r="U370" i="6"/>
  <c r="U168" i="6"/>
  <c r="U350" i="6"/>
  <c r="U46" i="6"/>
  <c r="U239" i="6"/>
  <c r="U79" i="6"/>
  <c r="U112" i="6"/>
  <c r="U387" i="6"/>
  <c r="U333" i="6"/>
  <c r="U34" i="6"/>
  <c r="U120" i="6"/>
  <c r="U209" i="6"/>
  <c r="U246" i="6"/>
  <c r="U282" i="6"/>
  <c r="U230" i="6"/>
  <c r="U352" i="6"/>
  <c r="U377" i="6"/>
  <c r="U249" i="6"/>
  <c r="U210" i="6"/>
  <c r="U238" i="6"/>
  <c r="U50" i="6"/>
  <c r="U160" i="6"/>
  <c r="U214" i="6"/>
  <c r="U256" i="6"/>
  <c r="U286" i="6"/>
  <c r="U242" i="6"/>
  <c r="U356" i="6"/>
  <c r="U386" i="6"/>
  <c r="U113" i="6"/>
  <c r="U389" i="6"/>
  <c r="U193" i="6"/>
  <c r="U95" i="6"/>
  <c r="U144" i="6"/>
  <c r="U461" i="6"/>
  <c r="U53" i="6"/>
  <c r="U99" i="6"/>
  <c r="U165" i="6"/>
  <c r="U215" i="6"/>
  <c r="U258" i="6"/>
  <c r="U294" i="6"/>
  <c r="U254" i="6"/>
  <c r="U357" i="6"/>
  <c r="U388" i="6"/>
  <c r="U125" i="6"/>
  <c r="U260" i="6"/>
  <c r="U122" i="6"/>
  <c r="U81" i="6"/>
  <c r="U305" i="6"/>
  <c r="U90" i="6"/>
  <c r="U315" i="6"/>
  <c r="U245" i="6"/>
  <c r="U335" i="6"/>
  <c r="U39" i="6"/>
  <c r="U284" i="6"/>
  <c r="U55" i="6"/>
  <c r="U217" i="6"/>
  <c r="U296" i="6"/>
  <c r="U359" i="6"/>
  <c r="U276" i="6"/>
  <c r="U281" i="6"/>
  <c r="U211" i="6"/>
  <c r="U60" i="6"/>
  <c r="U114" i="6"/>
  <c r="U149" i="6"/>
  <c r="U220" i="6"/>
  <c r="U261" i="6"/>
  <c r="U297" i="6"/>
  <c r="U344" i="6"/>
  <c r="U390" i="6"/>
  <c r="U145" i="6"/>
  <c r="U33" i="6"/>
  <c r="U351" i="6"/>
  <c r="U385" i="6"/>
  <c r="U62" i="6"/>
  <c r="U115" i="6"/>
  <c r="U181" i="6"/>
  <c r="U222" i="6"/>
  <c r="U262" i="6"/>
  <c r="U299" i="6"/>
  <c r="U318" i="6"/>
  <c r="U360" i="6"/>
  <c r="U391" i="6"/>
  <c r="U224" i="6"/>
  <c r="U327" i="6"/>
  <c r="U367" i="6"/>
  <c r="U135" i="6"/>
  <c r="U250" i="6"/>
  <c r="U37" i="6"/>
  <c r="U63" i="6"/>
  <c r="U124" i="6"/>
  <c r="U182" i="6"/>
  <c r="U264" i="6"/>
  <c r="U300" i="6"/>
  <c r="U392" i="6"/>
  <c r="U265" i="6"/>
  <c r="U368" i="6"/>
  <c r="U136" i="6"/>
  <c r="U64" i="6"/>
  <c r="U140" i="6"/>
  <c r="U184" i="6"/>
  <c r="U302" i="6"/>
  <c r="U393" i="6"/>
  <c r="U138" i="6"/>
  <c r="U402" i="6"/>
  <c r="U240" i="6"/>
  <c r="U355" i="6"/>
  <c r="U17" i="6"/>
  <c r="U65" i="6"/>
  <c r="U169" i="6"/>
  <c r="U190" i="6"/>
  <c r="U143" i="6"/>
  <c r="U266" i="6"/>
  <c r="U303" i="6"/>
  <c r="U326" i="6"/>
  <c r="U369" i="6"/>
  <c r="U400" i="6"/>
  <c r="U275" i="6"/>
  <c r="U304" i="6"/>
  <c r="U371" i="6"/>
  <c r="U401" i="6"/>
  <c r="U196" i="6"/>
  <c r="U384" i="6"/>
  <c r="U26" i="6"/>
  <c r="U66" i="6"/>
  <c r="U129" i="6"/>
  <c r="U192" i="6"/>
  <c r="U159" i="6"/>
  <c r="U342" i="6"/>
  <c r="U28" i="6"/>
  <c r="U325" i="6"/>
  <c r="U166" i="6"/>
  <c r="U337" i="6"/>
  <c r="U283" i="6"/>
  <c r="U31" i="6"/>
  <c r="U82" i="6"/>
  <c r="U153" i="6"/>
  <c r="U194" i="6"/>
  <c r="U232" i="6"/>
  <c r="U277" i="6"/>
  <c r="U313" i="6"/>
  <c r="U341" i="6"/>
  <c r="U404" i="6"/>
  <c r="U234" i="6"/>
  <c r="U255" i="6"/>
  <c r="U32" i="6"/>
  <c r="U85" i="6"/>
  <c r="U147" i="6"/>
  <c r="U195" i="6"/>
  <c r="U236" i="6"/>
  <c r="U280" i="6"/>
  <c r="U314" i="6"/>
  <c r="U324" i="6"/>
  <c r="U375" i="6"/>
  <c r="U336" i="6"/>
  <c r="U376" i="6"/>
  <c r="U353" i="6"/>
  <c r="U212" i="6"/>
  <c r="U248" i="6"/>
  <c r="U259" i="6"/>
  <c r="F5" i="6"/>
  <c r="G5" i="6"/>
  <c r="E5" i="6"/>
  <c r="H4" i="6"/>
  <c r="H3" i="6"/>
  <c r="T5" i="6"/>
  <c r="V308" i="6"/>
  <c r="V235" i="6"/>
  <c r="V351" i="6"/>
  <c r="V457" i="6"/>
  <c r="V186" i="6"/>
  <c r="V375" i="6"/>
  <c r="V139" i="6"/>
  <c r="V189" i="6" l="1"/>
  <c r="V469" i="6"/>
  <c r="V470" i="6"/>
  <c r="V416" i="6"/>
  <c r="V417" i="6"/>
  <c r="V418" i="6"/>
  <c r="V419" i="6"/>
  <c r="V420" i="6"/>
  <c r="V96" i="6"/>
  <c r="V97" i="6"/>
  <c r="V98" i="6"/>
  <c r="V358" i="6"/>
  <c r="V320" i="6"/>
  <c r="V94" i="6"/>
  <c r="V305" i="6"/>
  <c r="V379" i="6"/>
  <c r="V38" i="6"/>
  <c r="V259" i="6"/>
  <c r="V127" i="6"/>
  <c r="V313" i="6"/>
  <c r="V387" i="6"/>
  <c r="V13" i="6"/>
  <c r="V67" i="6"/>
  <c r="V135" i="6"/>
  <c r="V347" i="6"/>
  <c r="V165" i="6"/>
  <c r="V279" i="6"/>
  <c r="V284" i="6"/>
  <c r="V224" i="6"/>
  <c r="V317" i="6"/>
  <c r="V28" i="6"/>
  <c r="V18" i="6"/>
  <c r="V230" i="6"/>
  <c r="V432" i="6"/>
  <c r="V180" i="6"/>
  <c r="V448" i="6"/>
  <c r="V372" i="6"/>
  <c r="V373" i="6"/>
  <c r="V374" i="6"/>
  <c r="V458" i="6"/>
  <c r="V91" i="6"/>
  <c r="V92" i="6"/>
  <c r="V93" i="6"/>
  <c r="V152" i="6"/>
  <c r="V412" i="6"/>
  <c r="V201" i="6"/>
  <c r="V463" i="6"/>
  <c r="V350" i="6"/>
  <c r="V248" i="6"/>
  <c r="V72" i="6"/>
  <c r="V354" i="6"/>
  <c r="V103" i="6"/>
  <c r="V385" i="6"/>
  <c r="V133" i="6"/>
  <c r="V249" i="6"/>
  <c r="V198" i="6"/>
  <c r="V251" i="6"/>
  <c r="V55" i="6"/>
  <c r="V276" i="6"/>
  <c r="V12" i="6"/>
  <c r="V227" i="6"/>
  <c r="V340" i="6"/>
  <c r="V51" i="6"/>
  <c r="V273" i="6"/>
  <c r="V443" i="6"/>
  <c r="V192" i="6"/>
  <c r="V287" i="6"/>
  <c r="V34" i="6"/>
  <c r="V154" i="6"/>
  <c r="V246" i="6"/>
  <c r="V32" i="6"/>
  <c r="V388" i="6"/>
  <c r="V123" i="6"/>
  <c r="V434" i="6"/>
  <c r="V353" i="6"/>
  <c r="V64" i="6"/>
  <c r="V450" i="6"/>
  <c r="V343" i="6"/>
  <c r="V35" i="6"/>
  <c r="V368" i="6"/>
  <c r="V117" i="6"/>
  <c r="V231" i="6"/>
  <c r="V433" i="6"/>
  <c r="V181" i="6"/>
  <c r="V398" i="6"/>
  <c r="V146" i="6"/>
  <c r="V260" i="6"/>
  <c r="V464" i="6"/>
  <c r="V211" i="6"/>
  <c r="V321" i="6"/>
  <c r="V19" i="6"/>
  <c r="V257" i="6"/>
  <c r="V427" i="6"/>
  <c r="V175" i="6"/>
  <c r="V271" i="6"/>
  <c r="V390" i="6"/>
  <c r="V138" i="6"/>
  <c r="V236" i="6"/>
  <c r="V263" i="6"/>
  <c r="V445" i="6"/>
  <c r="V297" i="6"/>
  <c r="V468" i="6"/>
  <c r="V9" i="6"/>
  <c r="V244" i="6"/>
  <c r="V87" i="6"/>
  <c r="V422" i="6"/>
  <c r="V314" i="6"/>
  <c r="V65" i="6"/>
  <c r="V352" i="6"/>
  <c r="V101" i="6"/>
  <c r="V215" i="6"/>
  <c r="V169" i="6"/>
  <c r="V382" i="6"/>
  <c r="V130" i="6"/>
  <c r="V79" i="6"/>
  <c r="V446" i="6"/>
  <c r="V195" i="6"/>
  <c r="V306" i="6"/>
  <c r="V78" i="6"/>
  <c r="V241" i="6"/>
  <c r="W7" i="6"/>
  <c r="W35" i="6" s="1"/>
  <c r="V90" i="6"/>
  <c r="V255" i="6"/>
  <c r="V122" i="6"/>
  <c r="V220" i="6"/>
  <c r="V467" i="6"/>
  <c r="V206" i="6"/>
  <c r="V438" i="6"/>
  <c r="V359" i="6"/>
  <c r="V166" i="6"/>
  <c r="V454" i="6"/>
  <c r="V406" i="6"/>
  <c r="V298" i="6"/>
  <c r="V66" i="6"/>
  <c r="V344" i="6"/>
  <c r="V31" i="6"/>
  <c r="V199" i="6"/>
  <c r="V333" i="6"/>
  <c r="V80" i="6"/>
  <c r="V365" i="6"/>
  <c r="V114" i="6"/>
  <c r="V228" i="6"/>
  <c r="V430" i="6"/>
  <c r="V178" i="6"/>
  <c r="V290" i="6"/>
  <c r="V40" i="6"/>
  <c r="V225" i="6"/>
  <c r="V409" i="6"/>
  <c r="V157" i="6"/>
  <c r="V239" i="6"/>
  <c r="V357" i="6"/>
  <c r="V106" i="6"/>
  <c r="V204" i="6"/>
  <c r="V441" i="6"/>
  <c r="V250" i="6"/>
  <c r="V401" i="6"/>
  <c r="V170" i="6"/>
  <c r="V362" i="6"/>
  <c r="V303" i="6"/>
  <c r="V402" i="6"/>
  <c r="V136" i="6"/>
  <c r="V10" i="6"/>
  <c r="V267" i="6"/>
  <c r="V43" i="6"/>
  <c r="V424" i="6"/>
  <c r="V315" i="6"/>
  <c r="V282" i="6"/>
  <c r="V24" i="6"/>
  <c r="V312" i="6"/>
  <c r="V84" i="6"/>
  <c r="V182" i="6"/>
  <c r="V399" i="6"/>
  <c r="V147" i="6"/>
  <c r="V338" i="6"/>
  <c r="V77" i="6"/>
  <c r="V212" i="6"/>
  <c r="V413" i="6"/>
  <c r="V89" i="6"/>
  <c r="V274" i="6"/>
  <c r="V462" i="6"/>
  <c r="V209" i="6"/>
  <c r="V393" i="6"/>
  <c r="V141" i="6"/>
  <c r="V223" i="6"/>
  <c r="V342" i="6"/>
  <c r="V41" i="6"/>
  <c r="V187" i="6"/>
  <c r="V75" i="6"/>
  <c r="V302" i="6"/>
  <c r="V440" i="6"/>
  <c r="V371" i="6"/>
  <c r="V184" i="6"/>
  <c r="V456" i="6"/>
  <c r="V408" i="6"/>
  <c r="V233" i="6"/>
  <c r="V266" i="6"/>
  <c r="V102" i="6"/>
  <c r="V296" i="6"/>
  <c r="V52" i="6"/>
  <c r="V168" i="6"/>
  <c r="V383" i="6"/>
  <c r="V131" i="6"/>
  <c r="V329" i="6"/>
  <c r="V25" i="6"/>
  <c r="V196" i="6"/>
  <c r="V335" i="6"/>
  <c r="V160" i="6"/>
  <c r="V258" i="6"/>
  <c r="V444" i="6"/>
  <c r="V193" i="6"/>
  <c r="V377" i="6"/>
  <c r="V125" i="6"/>
  <c r="V207" i="6"/>
  <c r="V254" i="6"/>
  <c r="V95" i="6"/>
  <c r="V59" i="6"/>
  <c r="V74" i="6"/>
  <c r="V219" i="6"/>
  <c r="V349" i="6"/>
  <c r="V281" i="6"/>
  <c r="V107" i="6"/>
  <c r="V426" i="6"/>
  <c r="V327" i="6"/>
  <c r="V155" i="6"/>
  <c r="V164" i="6"/>
  <c r="V33" i="6"/>
  <c r="V280" i="6"/>
  <c r="V20" i="6"/>
  <c r="V366" i="6"/>
  <c r="V115" i="6"/>
  <c r="V309" i="6"/>
  <c r="V58" i="6"/>
  <c r="V179" i="6"/>
  <c r="V396" i="6"/>
  <c r="V144" i="6"/>
  <c r="V242" i="6"/>
  <c r="V428" i="6"/>
  <c r="V176" i="6"/>
  <c r="V360" i="6"/>
  <c r="V109" i="6"/>
  <c r="V191" i="6"/>
  <c r="V301" i="6"/>
  <c r="V30" i="6"/>
  <c r="V70" i="6"/>
  <c r="V150" i="6"/>
  <c r="V386" i="6"/>
  <c r="V190" i="6"/>
  <c r="V459" i="6"/>
  <c r="V238" i="6"/>
  <c r="V69" i="6"/>
  <c r="V234" i="6"/>
  <c r="V60" i="6"/>
  <c r="V264" i="6"/>
  <c r="V400" i="6"/>
  <c r="V148" i="6"/>
  <c r="V322" i="6"/>
  <c r="V99" i="6"/>
  <c r="V293" i="6"/>
  <c r="V46" i="6"/>
  <c r="V162" i="6"/>
  <c r="V380" i="6"/>
  <c r="V128" i="6"/>
  <c r="V226" i="6"/>
  <c r="V331" i="6"/>
  <c r="V61" i="6"/>
  <c r="V252" i="6"/>
  <c r="V47" i="6"/>
  <c r="V174" i="6"/>
  <c r="V285" i="6"/>
  <c r="V405" i="6"/>
  <c r="V153" i="6"/>
  <c r="V26" i="6"/>
  <c r="V286" i="6"/>
  <c r="V120" i="6"/>
  <c r="V431" i="6"/>
  <c r="V325" i="6"/>
  <c r="V57" i="6"/>
  <c r="V411" i="6"/>
  <c r="V218" i="6"/>
  <c r="V54" i="6"/>
  <c r="V172" i="6"/>
  <c r="V384" i="6"/>
  <c r="V132" i="6"/>
  <c r="V345" i="6"/>
  <c r="V27" i="6"/>
  <c r="V277" i="6"/>
  <c r="V14" i="6"/>
  <c r="V161" i="6"/>
  <c r="V363" i="6"/>
  <c r="V112" i="6"/>
  <c r="V210" i="6"/>
  <c r="V336" i="6"/>
  <c r="V158" i="6"/>
  <c r="V318" i="6"/>
  <c r="V15" i="6"/>
  <c r="V73" i="6"/>
  <c r="V269" i="6"/>
  <c r="V389" i="6"/>
  <c r="V137" i="6"/>
  <c r="V442" i="6"/>
  <c r="V203" i="6"/>
  <c r="V465" i="6"/>
  <c r="V11" i="6"/>
  <c r="V247" i="6"/>
  <c r="V71" i="6"/>
  <c r="V453" i="6"/>
  <c r="V202" i="6"/>
  <c r="V22" i="6"/>
  <c r="V232" i="6"/>
  <c r="V367" i="6"/>
  <c r="V116" i="6"/>
  <c r="V310" i="6"/>
  <c r="V81" i="6"/>
  <c r="V261" i="6"/>
  <c r="V397" i="6"/>
  <c r="V145" i="6"/>
  <c r="V323" i="6"/>
  <c r="V53" i="6"/>
  <c r="V194" i="6"/>
  <c r="V394" i="6"/>
  <c r="V142" i="6"/>
  <c r="V304" i="6"/>
  <c r="V63" i="6"/>
  <c r="V156" i="6"/>
  <c r="V245" i="6"/>
  <c r="V121" i="6"/>
  <c r="V283" i="6"/>
  <c r="V83" i="6"/>
  <c r="V149" i="6"/>
  <c r="V292" i="6"/>
  <c r="V111" i="6"/>
  <c r="V56" i="6"/>
  <c r="V414" i="6"/>
  <c r="V134" i="6"/>
  <c r="V436" i="6"/>
  <c r="V355" i="6"/>
  <c r="V452" i="6"/>
  <c r="V437" i="6"/>
  <c r="V185" i="6"/>
  <c r="V410" i="6"/>
  <c r="V216" i="6"/>
  <c r="V337" i="6"/>
  <c r="V100" i="6"/>
  <c r="V294" i="6"/>
  <c r="V48" i="6"/>
  <c r="V163" i="6"/>
  <c r="V381" i="6"/>
  <c r="V129" i="6"/>
  <c r="V330" i="6"/>
  <c r="V21" i="6"/>
  <c r="V177" i="6"/>
  <c r="V378" i="6"/>
  <c r="V126" i="6"/>
  <c r="V288" i="6"/>
  <c r="V36" i="6"/>
  <c r="V140" i="6"/>
  <c r="V237" i="6"/>
  <c r="V356" i="6"/>
  <c r="V105" i="6"/>
  <c r="V222" i="6"/>
  <c r="V429" i="6"/>
  <c r="V119" i="6"/>
  <c r="V415" i="6"/>
  <c r="V243" i="6"/>
  <c r="V460" i="6"/>
  <c r="V86" i="6"/>
  <c r="V447" i="6"/>
  <c r="V391" i="6"/>
  <c r="V348" i="6"/>
  <c r="V8" i="6"/>
  <c r="V265" i="6"/>
  <c r="V37" i="6"/>
  <c r="V423" i="6"/>
  <c r="V421" i="6"/>
  <c r="V167" i="6"/>
  <c r="V451" i="6"/>
  <c r="V200" i="6"/>
  <c r="V328" i="6"/>
  <c r="V29" i="6"/>
  <c r="V278" i="6"/>
  <c r="V16" i="6"/>
  <c r="V229" i="6"/>
  <c r="V364" i="6"/>
  <c r="V113" i="6"/>
  <c r="V307" i="6"/>
  <c r="V88" i="6"/>
  <c r="V82" i="6"/>
  <c r="V361" i="6"/>
  <c r="V110" i="6"/>
  <c r="V272" i="6"/>
  <c r="V392" i="6"/>
  <c r="V124" i="6"/>
  <c r="V221" i="6"/>
  <c r="V326" i="6"/>
  <c r="V39" i="6"/>
  <c r="V299" i="6"/>
  <c r="V439" i="6"/>
  <c r="V369" i="6"/>
  <c r="V173" i="6"/>
  <c r="V455" i="6"/>
  <c r="V407" i="6"/>
  <c r="V332" i="6"/>
  <c r="V435" i="6"/>
  <c r="V183" i="6"/>
  <c r="V311" i="6"/>
  <c r="V68" i="6"/>
  <c r="V262" i="6"/>
  <c r="V466" i="6"/>
  <c r="V213" i="6"/>
  <c r="V339" i="6"/>
  <c r="V62" i="6"/>
  <c r="V291" i="6"/>
  <c r="V42" i="6"/>
  <c r="V159" i="6"/>
  <c r="V324" i="6"/>
  <c r="V49" i="6"/>
  <c r="V256" i="6"/>
  <c r="V376" i="6"/>
  <c r="V108" i="6"/>
  <c r="V205" i="6"/>
  <c r="V316" i="6"/>
  <c r="V118" i="6"/>
  <c r="V370" i="6"/>
  <c r="V214" i="6"/>
  <c r="V44" i="6"/>
  <c r="V289" i="6"/>
  <c r="V208" i="6"/>
  <c r="V268" i="6"/>
  <c r="V404" i="6"/>
  <c r="V217" i="6"/>
  <c r="V334" i="6"/>
  <c r="V270" i="6"/>
  <c r="V104" i="6"/>
  <c r="V425" i="6"/>
  <c r="V253" i="6"/>
  <c r="V403" i="6"/>
  <c r="V151" i="6"/>
  <c r="V76" i="6"/>
  <c r="V295" i="6"/>
  <c r="V50" i="6"/>
  <c r="V171" i="6"/>
  <c r="V449" i="6"/>
  <c r="V197" i="6"/>
  <c r="V346" i="6"/>
  <c r="V23" i="6"/>
  <c r="V275" i="6"/>
  <c r="V395" i="6"/>
  <c r="V143" i="6"/>
  <c r="V319" i="6"/>
  <c r="V17" i="6"/>
  <c r="V240" i="6"/>
  <c r="V341" i="6"/>
  <c r="V45" i="6"/>
  <c r="V188" i="6"/>
  <c r="V300" i="6"/>
  <c r="V85" i="6"/>
  <c r="U5" i="6"/>
  <c r="H5" i="6"/>
  <c r="W189" i="6" l="1"/>
  <c r="W469" i="6"/>
  <c r="W470" i="6"/>
  <c r="W416" i="6"/>
  <c r="W417" i="6"/>
  <c r="W418" i="6"/>
  <c r="W419" i="6"/>
  <c r="W420" i="6"/>
  <c r="W124" i="6"/>
  <c r="W96" i="6"/>
  <c r="W97" i="6"/>
  <c r="W98" i="6"/>
  <c r="W354" i="6"/>
  <c r="W320" i="6"/>
  <c r="W60" i="6"/>
  <c r="W117" i="6"/>
  <c r="W85" i="6"/>
  <c r="W247" i="6"/>
  <c r="W183" i="6"/>
  <c r="W274" i="6"/>
  <c r="W17" i="6"/>
  <c r="W405" i="6"/>
  <c r="W12" i="6"/>
  <c r="W37" i="6"/>
  <c r="W146" i="6"/>
  <c r="W314" i="6"/>
  <c r="W358" i="6"/>
  <c r="W351" i="6"/>
  <c r="W59" i="6"/>
  <c r="W426" i="6"/>
  <c r="W196" i="6"/>
  <c r="W8" i="6"/>
  <c r="W467" i="6"/>
  <c r="W414" i="6"/>
  <c r="W398" i="6"/>
  <c r="W52" i="6"/>
  <c r="W61" i="6"/>
  <c r="W66" i="6"/>
  <c r="W32" i="6"/>
  <c r="W448" i="6"/>
  <c r="W372" i="6"/>
  <c r="W373" i="6"/>
  <c r="W374" i="6"/>
  <c r="W298" i="6"/>
  <c r="W33" i="6"/>
  <c r="W91" i="6"/>
  <c r="W92" i="6"/>
  <c r="W93" i="6"/>
  <c r="V5" i="6"/>
  <c r="W375" i="6"/>
  <c r="W400" i="6"/>
  <c r="W397" i="6"/>
  <c r="W406" i="6"/>
  <c r="W463" i="6"/>
  <c r="W445" i="6"/>
  <c r="W429" i="6"/>
  <c r="W31" i="6"/>
  <c r="W30" i="6"/>
  <c r="W58" i="6"/>
  <c r="W83" i="6"/>
  <c r="W116" i="6"/>
  <c r="W144" i="6"/>
  <c r="W161" i="6"/>
  <c r="W240" i="6"/>
  <c r="W177" i="6"/>
  <c r="W43" i="6"/>
  <c r="W258" i="6"/>
  <c r="W166" i="6"/>
  <c r="W382" i="6"/>
  <c r="W108" i="6"/>
  <c r="W205" i="6"/>
  <c r="W36" i="6"/>
  <c r="W50" i="6"/>
  <c r="W282" i="6"/>
  <c r="W338" i="6"/>
  <c r="W395" i="6"/>
  <c r="W332" i="6"/>
  <c r="W413" i="6"/>
  <c r="W460" i="6"/>
  <c r="W427" i="6"/>
  <c r="W251" i="6"/>
  <c r="W462" i="6"/>
  <c r="W444" i="6"/>
  <c r="W29" i="6"/>
  <c r="W56" i="6"/>
  <c r="W80" i="6"/>
  <c r="W115" i="6"/>
  <c r="W142" i="6"/>
  <c r="W162" i="6"/>
  <c r="W330" i="6"/>
  <c r="W27" i="6"/>
  <c r="W219" i="6"/>
  <c r="W437" i="6"/>
  <c r="W157" i="6"/>
  <c r="W365" i="6"/>
  <c r="W86" i="6"/>
  <c r="W301" i="6"/>
  <c r="W20" i="6"/>
  <c r="W34" i="6"/>
  <c r="W266" i="6"/>
  <c r="W75" i="6"/>
  <c r="W185" i="6"/>
  <c r="W226" i="6"/>
  <c r="W339" i="6"/>
  <c r="W371" i="6"/>
  <c r="W394" i="6"/>
  <c r="W315" i="6"/>
  <c r="W407" i="6"/>
  <c r="W350" i="6"/>
  <c r="W464" i="6"/>
  <c r="W442" i="6"/>
  <c r="W455" i="6"/>
  <c r="W428" i="6"/>
  <c r="W28" i="6"/>
  <c r="W53" i="6"/>
  <c r="W79" i="6"/>
  <c r="W114" i="6"/>
  <c r="W139" i="6"/>
  <c r="W308" i="6"/>
  <c r="W451" i="6"/>
  <c r="W244" i="6"/>
  <c r="W408" i="6"/>
  <c r="W141" i="6"/>
  <c r="W316" i="6"/>
  <c r="W70" i="6"/>
  <c r="W285" i="6"/>
  <c r="W299" i="6"/>
  <c r="W18" i="6"/>
  <c r="W224" i="6"/>
  <c r="W74" i="6"/>
  <c r="W346" i="6"/>
  <c r="W347" i="6"/>
  <c r="W202" i="6"/>
  <c r="W369" i="6"/>
  <c r="W392" i="6"/>
  <c r="W391" i="6"/>
  <c r="W390" i="6"/>
  <c r="W321" i="6"/>
  <c r="W446" i="6"/>
  <c r="W456" i="6"/>
  <c r="W423" i="6"/>
  <c r="W468" i="6"/>
  <c r="W26" i="6"/>
  <c r="W51" i="6"/>
  <c r="W78" i="6"/>
  <c r="W112" i="6"/>
  <c r="W292" i="6"/>
  <c r="W459" i="6"/>
  <c r="W212" i="6"/>
  <c r="W399" i="6"/>
  <c r="W125" i="6"/>
  <c r="W343" i="6"/>
  <c r="W54" i="6"/>
  <c r="W269" i="6"/>
  <c r="W283" i="6"/>
  <c r="X7" i="6"/>
  <c r="W235" i="6"/>
  <c r="W458" i="6"/>
  <c r="W296" i="6"/>
  <c r="W295" i="6"/>
  <c r="W253" i="6"/>
  <c r="W340" i="6"/>
  <c r="W367" i="6"/>
  <c r="W364" i="6"/>
  <c r="W362" i="6"/>
  <c r="W389" i="6"/>
  <c r="W409" i="6"/>
  <c r="W402" i="6"/>
  <c r="W440" i="6"/>
  <c r="W465" i="6"/>
  <c r="W447" i="6"/>
  <c r="W24" i="6"/>
  <c r="W48" i="6"/>
  <c r="W77" i="6"/>
  <c r="W276" i="6"/>
  <c r="W425" i="6"/>
  <c r="W250" i="6"/>
  <c r="W383" i="6"/>
  <c r="W109" i="6"/>
  <c r="W221" i="6"/>
  <c r="W38" i="6"/>
  <c r="W238" i="6"/>
  <c r="W267" i="6"/>
  <c r="W415" i="6"/>
  <c r="W176" i="6"/>
  <c r="W461" i="6"/>
  <c r="W268" i="6"/>
  <c r="W265" i="6"/>
  <c r="W294" i="6"/>
  <c r="W213" i="6"/>
  <c r="W324" i="6"/>
  <c r="W317" i="6"/>
  <c r="W252" i="6"/>
  <c r="W361" i="6"/>
  <c r="W388" i="6"/>
  <c r="W386" i="6"/>
  <c r="W410" i="6"/>
  <c r="W431" i="6"/>
  <c r="W457" i="6"/>
  <c r="W438" i="6"/>
  <c r="W21" i="6"/>
  <c r="W47" i="6"/>
  <c r="W260" i="6"/>
  <c r="W454" i="6"/>
  <c r="W159" i="6"/>
  <c r="W366" i="6"/>
  <c r="W87" i="6"/>
  <c r="W303" i="6"/>
  <c r="W22" i="6"/>
  <c r="W178" i="6"/>
  <c r="W230" i="6"/>
  <c r="W10" i="6"/>
  <c r="W172" i="6"/>
  <c r="W211" i="6"/>
  <c r="W186" i="6"/>
  <c r="W264" i="6"/>
  <c r="W293" i="6"/>
  <c r="W197" i="6"/>
  <c r="W188" i="6"/>
  <c r="W254" i="6"/>
  <c r="W341" i="6"/>
  <c r="W342" i="6"/>
  <c r="W359" i="6"/>
  <c r="W384" i="6"/>
  <c r="W348" i="6"/>
  <c r="W453" i="6"/>
  <c r="W441" i="6"/>
  <c r="W435" i="6"/>
  <c r="W19" i="6"/>
  <c r="W173" i="6"/>
  <c r="W401" i="6"/>
  <c r="W143" i="6"/>
  <c r="W322" i="6"/>
  <c r="W71" i="6"/>
  <c r="W287" i="6"/>
  <c r="W466" i="6"/>
  <c r="W201" i="6"/>
  <c r="W239" i="6"/>
  <c r="W443" i="6"/>
  <c r="W170" i="6"/>
  <c r="W227" i="6"/>
  <c r="W90" i="6"/>
  <c r="W232" i="6"/>
  <c r="W220" i="6"/>
  <c r="W243" i="6"/>
  <c r="W263" i="6"/>
  <c r="W291" i="6"/>
  <c r="W289" i="6"/>
  <c r="W286" i="6"/>
  <c r="W175" i="6"/>
  <c r="W311" i="6"/>
  <c r="W327" i="6"/>
  <c r="W357" i="6"/>
  <c r="W381" i="6"/>
  <c r="W333" i="6"/>
  <c r="W9" i="6"/>
  <c r="W452" i="6"/>
  <c r="W190" i="6"/>
  <c r="W336" i="6"/>
  <c r="W127" i="6"/>
  <c r="W326" i="6"/>
  <c r="W55" i="6"/>
  <c r="W271" i="6"/>
  <c r="W439" i="6"/>
  <c r="W174" i="6"/>
  <c r="W184" i="6"/>
  <c r="W237" i="6"/>
  <c r="W151" i="6"/>
  <c r="W297" i="6"/>
  <c r="W236" i="6"/>
  <c r="W137" i="6"/>
  <c r="W171" i="6"/>
  <c r="W163" i="6"/>
  <c r="W204" i="6"/>
  <c r="W231" i="6"/>
  <c r="W262" i="6"/>
  <c r="W261" i="6"/>
  <c r="W259" i="6"/>
  <c r="W284" i="6"/>
  <c r="W281" i="6"/>
  <c r="W310" i="6"/>
  <c r="W344" i="6"/>
  <c r="W356" i="6"/>
  <c r="W379" i="6"/>
  <c r="W334" i="6"/>
  <c r="W404" i="6"/>
  <c r="W412" i="6"/>
  <c r="W228" i="6"/>
  <c r="W385" i="6"/>
  <c r="W111" i="6"/>
  <c r="W229" i="6"/>
  <c r="W39" i="6"/>
  <c r="W255" i="6"/>
  <c r="W430" i="6"/>
  <c r="W168" i="6"/>
  <c r="W248" i="6"/>
  <c r="W218" i="6"/>
  <c r="W135" i="6"/>
  <c r="W270" i="6"/>
  <c r="W110" i="6"/>
  <c r="W134" i="6"/>
  <c r="W133" i="6"/>
  <c r="W179" i="6"/>
  <c r="W222" i="6"/>
  <c r="W214" i="6"/>
  <c r="W206" i="6"/>
  <c r="W257" i="6"/>
  <c r="W242" i="6"/>
  <c r="W280" i="6"/>
  <c r="W309" i="6"/>
  <c r="W328" i="6"/>
  <c r="W355" i="6"/>
  <c r="W378" i="6"/>
  <c r="W241" i="6"/>
  <c r="W434" i="6"/>
  <c r="W191" i="6"/>
  <c r="W368" i="6"/>
  <c r="W89" i="6"/>
  <c r="W304" i="6"/>
  <c r="W23" i="6"/>
  <c r="W195" i="6"/>
  <c r="W233" i="6"/>
  <c r="W154" i="6"/>
  <c r="W169" i="6"/>
  <c r="W393" i="6"/>
  <c r="W119" i="6"/>
  <c r="W76" i="6"/>
  <c r="W107" i="6"/>
  <c r="W105" i="6"/>
  <c r="W132" i="6"/>
  <c r="W160" i="6"/>
  <c r="W164" i="6"/>
  <c r="W249" i="6"/>
  <c r="W223" i="6"/>
  <c r="W198" i="6"/>
  <c r="W181" i="6"/>
  <c r="W234" i="6"/>
  <c r="W279" i="6"/>
  <c r="W307" i="6"/>
  <c r="W210" i="6"/>
  <c r="W353" i="6"/>
  <c r="W376" i="6"/>
  <c r="W424" i="6"/>
  <c r="W352" i="6"/>
  <c r="W73" i="6"/>
  <c r="W288" i="6"/>
  <c r="W422" i="6"/>
  <c r="W217" i="6"/>
  <c r="W11" i="6"/>
  <c r="W138" i="6"/>
  <c r="W152" i="6"/>
  <c r="W377" i="6"/>
  <c r="W103" i="6"/>
  <c r="W46" i="6"/>
  <c r="W45" i="6"/>
  <c r="W72" i="6"/>
  <c r="W102" i="6"/>
  <c r="W131" i="6"/>
  <c r="W158" i="6"/>
  <c r="W155" i="6"/>
  <c r="W153" i="6"/>
  <c r="W215" i="6"/>
  <c r="W207" i="6"/>
  <c r="W245" i="6"/>
  <c r="W216" i="6"/>
  <c r="W278" i="6"/>
  <c r="W305" i="6"/>
  <c r="W345" i="6"/>
  <c r="W337" i="6"/>
  <c r="W319" i="6"/>
  <c r="W145" i="6"/>
  <c r="W325" i="6"/>
  <c r="W57" i="6"/>
  <c r="W272" i="6"/>
  <c r="W312" i="6"/>
  <c r="W187" i="6"/>
  <c r="W396" i="6"/>
  <c r="W122" i="6"/>
  <c r="W136" i="6"/>
  <c r="W360" i="6"/>
  <c r="W81" i="6"/>
  <c r="W16" i="6"/>
  <c r="W15" i="6"/>
  <c r="W44" i="6"/>
  <c r="W69" i="6"/>
  <c r="W101" i="6"/>
  <c r="W130" i="6"/>
  <c r="W128" i="6"/>
  <c r="W126" i="6"/>
  <c r="W150" i="6"/>
  <c r="W149" i="6"/>
  <c r="W199" i="6"/>
  <c r="W209" i="6"/>
  <c r="W208" i="6"/>
  <c r="W277" i="6"/>
  <c r="W302" i="6"/>
  <c r="W329" i="6"/>
  <c r="W194" i="6"/>
  <c r="W129" i="6"/>
  <c r="W331" i="6"/>
  <c r="W41" i="6"/>
  <c r="W256" i="6"/>
  <c r="W433" i="6"/>
  <c r="W167" i="6"/>
  <c r="W380" i="6"/>
  <c r="W106" i="6"/>
  <c r="W120" i="6"/>
  <c r="W323" i="6"/>
  <c r="W65" i="6"/>
  <c r="W436" i="6"/>
  <c r="W432" i="6"/>
  <c r="W14" i="6"/>
  <c r="W42" i="6"/>
  <c r="W67" i="6"/>
  <c r="W100" i="6"/>
  <c r="W99" i="6"/>
  <c r="W123" i="6"/>
  <c r="W121" i="6"/>
  <c r="W148" i="6"/>
  <c r="W182" i="6"/>
  <c r="W193" i="6"/>
  <c r="W200" i="6"/>
  <c r="W275" i="6"/>
  <c r="W300" i="6"/>
  <c r="W387" i="6"/>
  <c r="W113" i="6"/>
  <c r="W306" i="6"/>
  <c r="W25" i="6"/>
  <c r="W203" i="6"/>
  <c r="W421" i="6"/>
  <c r="W156" i="6"/>
  <c r="W363" i="6"/>
  <c r="W84" i="6"/>
  <c r="W104" i="6"/>
  <c r="W318" i="6"/>
  <c r="W49" i="6"/>
  <c r="W403" i="6"/>
  <c r="W449" i="6"/>
  <c r="W349" i="6"/>
  <c r="W411" i="6"/>
  <c r="W450" i="6"/>
  <c r="W13" i="6"/>
  <c r="W40" i="6"/>
  <c r="W64" i="6"/>
  <c r="W63" i="6"/>
  <c r="W62" i="6"/>
  <c r="W95" i="6"/>
  <c r="W88" i="6"/>
  <c r="W118" i="6"/>
  <c r="W147" i="6"/>
  <c r="W165" i="6"/>
  <c r="W246" i="6"/>
  <c r="W192" i="6"/>
  <c r="W273" i="6"/>
  <c r="W370" i="6"/>
  <c r="W94" i="6"/>
  <c r="W290" i="6"/>
  <c r="W225" i="6"/>
  <c r="W335" i="6"/>
  <c r="W140" i="6"/>
  <c r="W313" i="6"/>
  <c r="W68" i="6"/>
  <c r="W82" i="6"/>
  <c r="W180" i="6"/>
  <c r="X189" i="6" l="1"/>
  <c r="X469" i="6"/>
  <c r="X470" i="6"/>
  <c r="X416" i="6"/>
  <c r="X417" i="6"/>
  <c r="X418" i="6"/>
  <c r="X419" i="6"/>
  <c r="X420" i="6"/>
  <c r="X320" i="6"/>
  <c r="X96" i="6"/>
  <c r="X97" i="6"/>
  <c r="X98" i="6"/>
  <c r="X267" i="6"/>
  <c r="X358" i="6"/>
  <c r="X381" i="6"/>
  <c r="X292" i="6"/>
  <c r="X164" i="6"/>
  <c r="X464" i="6"/>
  <c r="X317" i="6"/>
  <c r="X71" i="6"/>
  <c r="X350" i="6"/>
  <c r="X372" i="6"/>
  <c r="X373" i="6"/>
  <c r="X374" i="6"/>
  <c r="X266" i="6"/>
  <c r="X282" i="6"/>
  <c r="X438" i="6"/>
  <c r="X409" i="6"/>
  <c r="X77" i="6"/>
  <c r="X66" i="6"/>
  <c r="X13" i="6"/>
  <c r="X28" i="6"/>
  <c r="X448" i="6"/>
  <c r="X424" i="6"/>
  <c r="X79" i="6"/>
  <c r="X163" i="6"/>
  <c r="X26" i="6"/>
  <c r="X315" i="6"/>
  <c r="X246" i="6"/>
  <c r="X215" i="6"/>
  <c r="X441" i="6"/>
  <c r="X306" i="6"/>
  <c r="X80" i="6"/>
  <c r="X426" i="6"/>
  <c r="X412" i="6"/>
  <c r="X364" i="6"/>
  <c r="X222" i="6"/>
  <c r="X439" i="6"/>
  <c r="X247" i="6"/>
  <c r="X308" i="6"/>
  <c r="X322" i="6"/>
  <c r="X177" i="6"/>
  <c r="X85" i="6"/>
  <c r="X131" i="6"/>
  <c r="X390" i="6"/>
  <c r="X355" i="6"/>
  <c r="X148" i="6"/>
  <c r="X341" i="6"/>
  <c r="X286" i="6"/>
  <c r="X270" i="6"/>
  <c r="X190" i="6"/>
  <c r="X327" i="6"/>
  <c r="X349" i="6"/>
  <c r="X29" i="6"/>
  <c r="X91" i="6"/>
  <c r="X92" i="6"/>
  <c r="X93" i="6"/>
  <c r="X354" i="6"/>
  <c r="X167" i="6"/>
  <c r="X284" i="6"/>
  <c r="X90" i="6"/>
  <c r="X64" i="6"/>
  <c r="X69" i="6"/>
  <c r="X334" i="6"/>
  <c r="X151" i="6"/>
  <c r="X27" i="6"/>
  <c r="X401" i="6"/>
  <c r="X268" i="6"/>
  <c r="X82" i="6"/>
  <c r="X463" i="6"/>
  <c r="X283" i="6"/>
  <c r="X166" i="6"/>
  <c r="X87" i="6"/>
  <c r="W5" i="6"/>
  <c r="X465" i="6"/>
  <c r="X421" i="6"/>
  <c r="X100" i="6"/>
  <c r="X345" i="6"/>
  <c r="X378" i="6"/>
  <c r="X10" i="6"/>
  <c r="X429" i="6"/>
  <c r="X261" i="6"/>
  <c r="X325" i="6"/>
  <c r="X242" i="6"/>
  <c r="X175" i="6"/>
  <c r="X43" i="6"/>
  <c r="X234" i="6"/>
  <c r="X230" i="6"/>
  <c r="X224" i="6"/>
  <c r="X430" i="6"/>
  <c r="X185" i="6"/>
  <c r="X207" i="6"/>
  <c r="X393" i="6"/>
  <c r="X135" i="6"/>
  <c r="X150" i="6"/>
  <c r="X405" i="6"/>
  <c r="X147" i="6"/>
  <c r="X331" i="6"/>
  <c r="X51" i="6"/>
  <c r="X49" i="6"/>
  <c r="X48" i="6"/>
  <c r="X46" i="6"/>
  <c r="X75" i="6"/>
  <c r="X303" i="6"/>
  <c r="X413" i="6"/>
  <c r="X186" i="6"/>
  <c r="X22" i="6"/>
  <c r="X239" i="6"/>
  <c r="X134" i="6"/>
  <c r="X25" i="6"/>
  <c r="X24" i="6"/>
  <c r="X74" i="6"/>
  <c r="X454" i="6"/>
  <c r="X386" i="6"/>
  <c r="X182" i="6"/>
  <c r="X346" i="6"/>
  <c r="X375" i="6"/>
  <c r="Y7" i="6"/>
  <c r="X459" i="6"/>
  <c r="X183" i="6"/>
  <c r="X209" i="6"/>
  <c r="X285" i="6"/>
  <c r="X193" i="6"/>
  <c r="X184" i="6"/>
  <c r="X176" i="6"/>
  <c r="X411" i="6"/>
  <c r="X153" i="6"/>
  <c r="X168" i="6"/>
  <c r="X360" i="6"/>
  <c r="X103" i="6"/>
  <c r="X118" i="6"/>
  <c r="X115" i="6"/>
  <c r="X290" i="6"/>
  <c r="X289" i="6"/>
  <c r="X288" i="6"/>
  <c r="X287" i="6"/>
  <c r="X52" i="6"/>
  <c r="X458" i="6"/>
  <c r="X9" i="6"/>
  <c r="X361" i="6"/>
  <c r="X450" i="6"/>
  <c r="X299" i="6"/>
  <c r="X254" i="6"/>
  <c r="X396" i="6"/>
  <c r="X440" i="6"/>
  <c r="X117" i="6"/>
  <c r="X179" i="6"/>
  <c r="X269" i="6"/>
  <c r="X462" i="6"/>
  <c r="X248" i="6"/>
  <c r="X249" i="6"/>
  <c r="X223" i="6"/>
  <c r="X395" i="6"/>
  <c r="X137" i="6"/>
  <c r="X152" i="6"/>
  <c r="X340" i="6"/>
  <c r="X78" i="6"/>
  <c r="X102" i="6"/>
  <c r="X356" i="6"/>
  <c r="X99" i="6"/>
  <c r="X274" i="6"/>
  <c r="X273" i="6"/>
  <c r="X272" i="6"/>
  <c r="X271" i="6"/>
  <c r="X36" i="6"/>
  <c r="X461" i="6"/>
  <c r="X407" i="6"/>
  <c r="X326" i="6"/>
  <c r="X406" i="6"/>
  <c r="X467" i="6"/>
  <c r="X73" i="6"/>
  <c r="X253" i="6"/>
  <c r="X370" i="6"/>
  <c r="X11" i="6"/>
  <c r="X457" i="6"/>
  <c r="X226" i="6"/>
  <c r="X238" i="6"/>
  <c r="X210" i="6"/>
  <c r="X202" i="6"/>
  <c r="X194" i="6"/>
  <c r="X379" i="6"/>
  <c r="X121" i="6"/>
  <c r="X136" i="6"/>
  <c r="X329" i="6"/>
  <c r="X57" i="6"/>
  <c r="X56" i="6"/>
  <c r="X188" i="6"/>
  <c r="X89" i="6"/>
  <c r="X258" i="6"/>
  <c r="X257" i="6"/>
  <c r="X256" i="6"/>
  <c r="X255" i="6"/>
  <c r="X20" i="6"/>
  <c r="X394" i="6"/>
  <c r="X309" i="6"/>
  <c r="X383" i="6"/>
  <c r="X336" i="6"/>
  <c r="X415" i="6"/>
  <c r="X293" i="6"/>
  <c r="X213" i="6"/>
  <c r="X391" i="6"/>
  <c r="X422" i="6"/>
  <c r="X83" i="6"/>
  <c r="X178" i="6"/>
  <c r="X468" i="6"/>
  <c r="X172" i="6"/>
  <c r="X171" i="6"/>
  <c r="X170" i="6"/>
  <c r="X362" i="6"/>
  <c r="X105" i="6"/>
  <c r="X120" i="6"/>
  <c r="X311" i="6"/>
  <c r="X37" i="6"/>
  <c r="X35" i="6"/>
  <c r="X347" i="6"/>
  <c r="X53" i="6"/>
  <c r="X219" i="6"/>
  <c r="X211" i="6"/>
  <c r="X203" i="6"/>
  <c r="X195" i="6"/>
  <c r="X50" i="6"/>
  <c r="X427" i="6"/>
  <c r="X399" i="6"/>
  <c r="X133" i="6"/>
  <c r="X301" i="6"/>
  <c r="X235" i="6"/>
  <c r="X384" i="6"/>
  <c r="X198" i="6"/>
  <c r="X357" i="6"/>
  <c r="X402" i="6"/>
  <c r="X433" i="6"/>
  <c r="X165" i="6"/>
  <c r="X332" i="6"/>
  <c r="X367" i="6"/>
  <c r="X437" i="6"/>
  <c r="X158" i="6"/>
  <c r="X201" i="6"/>
  <c r="X335" i="6"/>
  <c r="X156" i="6"/>
  <c r="X155" i="6"/>
  <c r="X154" i="6"/>
  <c r="X323" i="6"/>
  <c r="X81" i="6"/>
  <c r="X104" i="6"/>
  <c r="X295" i="6"/>
  <c r="X12" i="6"/>
  <c r="X95" i="6"/>
  <c r="X307" i="6"/>
  <c r="X30" i="6"/>
  <c r="X244" i="6"/>
  <c r="X245" i="6"/>
  <c r="X225" i="6"/>
  <c r="X217" i="6"/>
  <c r="X34" i="6"/>
  <c r="X352" i="6"/>
  <c r="X119" i="6"/>
  <c r="X369" i="6"/>
  <c r="X101" i="6"/>
  <c r="X318" i="6"/>
  <c r="X380" i="6"/>
  <c r="X351" i="6"/>
  <c r="X445" i="6"/>
  <c r="X277" i="6"/>
  <c r="X252" i="6"/>
  <c r="X180" i="6"/>
  <c r="X142" i="6"/>
  <c r="X174" i="6"/>
  <c r="X398" i="6"/>
  <c r="X140" i="6"/>
  <c r="X139" i="6"/>
  <c r="X138" i="6"/>
  <c r="X221" i="6"/>
  <c r="X59" i="6"/>
  <c r="X88" i="6"/>
  <c r="X279" i="6"/>
  <c r="X294" i="6"/>
  <c r="X55" i="6"/>
  <c r="X291" i="6"/>
  <c r="X432" i="6"/>
  <c r="X212" i="6"/>
  <c r="X204" i="6"/>
  <c r="X196" i="6"/>
  <c r="X187" i="6"/>
  <c r="X18" i="6"/>
  <c r="X410" i="6"/>
  <c r="X377" i="6"/>
  <c r="X359" i="6"/>
  <c r="X425" i="6"/>
  <c r="X304" i="6"/>
  <c r="X353" i="6"/>
  <c r="X400" i="6"/>
  <c r="X446" i="6"/>
  <c r="X149" i="6"/>
  <c r="X314" i="6"/>
  <c r="X387" i="6"/>
  <c r="X126" i="6"/>
  <c r="X218" i="6"/>
  <c r="X382" i="6"/>
  <c r="X124" i="6"/>
  <c r="X123" i="6"/>
  <c r="X122" i="6"/>
  <c r="X313" i="6"/>
  <c r="X39" i="6"/>
  <c r="X58" i="6"/>
  <c r="X263" i="6"/>
  <c r="X278" i="6"/>
  <c r="X33" i="6"/>
  <c r="X275" i="6"/>
  <c r="X436" i="6"/>
  <c r="X241" i="6"/>
  <c r="X237" i="6"/>
  <c r="X233" i="6"/>
  <c r="X229" i="6"/>
  <c r="X63" i="6"/>
  <c r="X389" i="6"/>
  <c r="X324" i="6"/>
  <c r="X423" i="6"/>
  <c r="X228" i="6"/>
  <c r="X197" i="6"/>
  <c r="X376" i="6"/>
  <c r="X8" i="6"/>
  <c r="X431" i="6"/>
  <c r="X260" i="6"/>
  <c r="X363" i="6"/>
  <c r="X110" i="6"/>
  <c r="X67" i="6"/>
  <c r="X365" i="6"/>
  <c r="X108" i="6"/>
  <c r="X107" i="6"/>
  <c r="X106" i="6"/>
  <c r="X297" i="6"/>
  <c r="X16" i="6"/>
  <c r="X38" i="6"/>
  <c r="X200" i="6"/>
  <c r="X262" i="6"/>
  <c r="X72" i="6"/>
  <c r="X259" i="6"/>
  <c r="X460" i="6"/>
  <c r="X86" i="6"/>
  <c r="X70" i="6"/>
  <c r="X47" i="6"/>
  <c r="X328" i="6"/>
  <c r="X444" i="6"/>
  <c r="X451" i="6"/>
  <c r="X302" i="6"/>
  <c r="X337" i="6"/>
  <c r="X397" i="6"/>
  <c r="X456" i="6"/>
  <c r="X132" i="6"/>
  <c r="X342" i="6"/>
  <c r="X65" i="6"/>
  <c r="X157" i="6"/>
  <c r="X338" i="6"/>
  <c r="X84" i="6"/>
  <c r="X68" i="6"/>
  <c r="X94" i="6"/>
  <c r="X281" i="6"/>
  <c r="X296" i="6"/>
  <c r="X14" i="6"/>
  <c r="X214" i="6"/>
  <c r="X192" i="6"/>
  <c r="X54" i="6"/>
  <c r="X227" i="6"/>
  <c r="X205" i="6"/>
  <c r="X162" i="6"/>
  <c r="X161" i="6"/>
  <c r="X160" i="6"/>
  <c r="X159" i="6"/>
  <c r="X31" i="6"/>
  <c r="X243" i="6"/>
  <c r="X319" i="6"/>
  <c r="X408" i="6"/>
  <c r="X447" i="6"/>
  <c r="X250" i="6"/>
  <c r="X330" i="6"/>
  <c r="X333" i="6"/>
  <c r="X442" i="6"/>
  <c r="X310" i="6"/>
  <c r="X44" i="6"/>
  <c r="X141" i="6"/>
  <c r="X344" i="6"/>
  <c r="X62" i="6"/>
  <c r="X61" i="6"/>
  <c r="X60" i="6"/>
  <c r="X265" i="6"/>
  <c r="X280" i="6"/>
  <c r="X435" i="6"/>
  <c r="X240" i="6"/>
  <c r="X206" i="6"/>
  <c r="X32" i="6"/>
  <c r="X181" i="6"/>
  <c r="X404" i="6"/>
  <c r="X146" i="6"/>
  <c r="X145" i="6"/>
  <c r="X144" i="6"/>
  <c r="X143" i="6"/>
  <c r="X15" i="6"/>
  <c r="X428" i="6"/>
  <c r="X312" i="6"/>
  <c r="X414" i="6"/>
  <c r="X305" i="6"/>
  <c r="X385" i="6"/>
  <c r="X434" i="6"/>
  <c r="X449" i="6"/>
  <c r="X298" i="6"/>
  <c r="X339" i="6"/>
  <c r="X392" i="6"/>
  <c r="X453" i="6"/>
  <c r="X173" i="6"/>
  <c r="X23" i="6"/>
  <c r="X125" i="6"/>
  <c r="X316" i="6"/>
  <c r="X42" i="6"/>
  <c r="X41" i="6"/>
  <c r="X40" i="6"/>
  <c r="X216" i="6"/>
  <c r="X264" i="6"/>
  <c r="X455" i="6"/>
  <c r="X199" i="6"/>
  <c r="X236" i="6"/>
  <c r="X466" i="6"/>
  <c r="X220" i="6"/>
  <c r="X388" i="6"/>
  <c r="X130" i="6"/>
  <c r="X129" i="6"/>
  <c r="X128" i="6"/>
  <c r="X127" i="6"/>
  <c r="X45" i="6"/>
  <c r="X169" i="6"/>
  <c r="X232" i="6"/>
  <c r="X276" i="6"/>
  <c r="X343" i="6"/>
  <c r="X403" i="6"/>
  <c r="X348" i="6"/>
  <c r="X368" i="6"/>
  <c r="X321" i="6"/>
  <c r="X116" i="6"/>
  <c r="X366" i="6"/>
  <c r="X109" i="6"/>
  <c r="X300" i="6"/>
  <c r="X21" i="6"/>
  <c r="X19" i="6"/>
  <c r="X17" i="6"/>
  <c r="X231" i="6"/>
  <c r="X208" i="6"/>
  <c r="X443" i="6"/>
  <c r="X76" i="6"/>
  <c r="X191" i="6"/>
  <c r="X452" i="6"/>
  <c r="X251" i="6"/>
  <c r="X371" i="6"/>
  <c r="X114" i="6"/>
  <c r="X113" i="6"/>
  <c r="X112" i="6"/>
  <c r="X111" i="6"/>
  <c r="Y469" i="6" l="1"/>
  <c r="Y470" i="6"/>
  <c r="Y100" i="6"/>
  <c r="Y362" i="6"/>
  <c r="Y134" i="6"/>
  <c r="Y189" i="6"/>
  <c r="Y462" i="6"/>
  <c r="Y396" i="6"/>
  <c r="Y393" i="6"/>
  <c r="Y143" i="6"/>
  <c r="Y42" i="6"/>
  <c r="Y73" i="6"/>
  <c r="Y459" i="6"/>
  <c r="Y120" i="6"/>
  <c r="Y195" i="6"/>
  <c r="Y416" i="6"/>
  <c r="Y417" i="6"/>
  <c r="Y418" i="6"/>
  <c r="Y419" i="6"/>
  <c r="Y420" i="6"/>
  <c r="Y264" i="6"/>
  <c r="Y212" i="6"/>
  <c r="Y34" i="6"/>
  <c r="Y173" i="6"/>
  <c r="Y126" i="6"/>
  <c r="Y76" i="6"/>
  <c r="Y56" i="6"/>
  <c r="Y360" i="6"/>
  <c r="Y201" i="6"/>
  <c r="Y14" i="6"/>
  <c r="Y277" i="6"/>
  <c r="Y425" i="6"/>
  <c r="Y271" i="6"/>
  <c r="Y350" i="6"/>
  <c r="Y414" i="6"/>
  <c r="Y27" i="6"/>
  <c r="Y285" i="6"/>
  <c r="Y142" i="6"/>
  <c r="Y64" i="6"/>
  <c r="Y102" i="6"/>
  <c r="Y18" i="6"/>
  <c r="Y217" i="6"/>
  <c r="Y107" i="6"/>
  <c r="Y237" i="6"/>
  <c r="Y175" i="6"/>
  <c r="Y146" i="6"/>
  <c r="Y84" i="6"/>
  <c r="Y215" i="6"/>
  <c r="Y156" i="6"/>
  <c r="Y71" i="6"/>
  <c r="Y60" i="6"/>
  <c r="Y121" i="6"/>
  <c r="Y343" i="6"/>
  <c r="Y267" i="6"/>
  <c r="Y391" i="6"/>
  <c r="Y299" i="6"/>
  <c r="Y213" i="6"/>
  <c r="Y112" i="6"/>
  <c r="Y320" i="6"/>
  <c r="Y96" i="6"/>
  <c r="Y97" i="6"/>
  <c r="Y98" i="6"/>
  <c r="Y334" i="6"/>
  <c r="Y169" i="6"/>
  <c r="Y228" i="6"/>
  <c r="Y82" i="6"/>
  <c r="Y61" i="6"/>
  <c r="Y403" i="6"/>
  <c r="Y80" i="6"/>
  <c r="Y309" i="6"/>
  <c r="Y183" i="6"/>
  <c r="Y450" i="6"/>
  <c r="Y145" i="6"/>
  <c r="Y101" i="6"/>
  <c r="Y351" i="6"/>
  <c r="Y341" i="6"/>
  <c r="Y249" i="6"/>
  <c r="Y12" i="6"/>
  <c r="Y116" i="6"/>
  <c r="Y226" i="6"/>
  <c r="Y358" i="6"/>
  <c r="Y440" i="6"/>
  <c r="Y129" i="6"/>
  <c r="Y323" i="6"/>
  <c r="Y198" i="6"/>
  <c r="Y131" i="6"/>
  <c r="Y426" i="6"/>
  <c r="Y410" i="6"/>
  <c r="Y388" i="6"/>
  <c r="Y49" i="6"/>
  <c r="Y124" i="6"/>
  <c r="Y190" i="6"/>
  <c r="Y188" i="6"/>
  <c r="Y209" i="6"/>
  <c r="Y307" i="6"/>
  <c r="Y16" i="6"/>
  <c r="Y38" i="6"/>
  <c r="Y59" i="6"/>
  <c r="Y9" i="6"/>
  <c r="Y110" i="6"/>
  <c r="Y184" i="6"/>
  <c r="Y199" i="6"/>
  <c r="Y178" i="6"/>
  <c r="Y46" i="6"/>
  <c r="Y255" i="6"/>
  <c r="Y322" i="6"/>
  <c r="Y233" i="6"/>
  <c r="Y17" i="6"/>
  <c r="Y109" i="6"/>
  <c r="Y365" i="6"/>
  <c r="Y389" i="6"/>
  <c r="Y26" i="6"/>
  <c r="Y99" i="6"/>
  <c r="Y162" i="6"/>
  <c r="Y86" i="6"/>
  <c r="Y186" i="6"/>
  <c r="Y356" i="6"/>
  <c r="Y272" i="6"/>
  <c r="Y13" i="6"/>
  <c r="Y36" i="6"/>
  <c r="Y392" i="6"/>
  <c r="Y72" i="6"/>
  <c r="Y168" i="6"/>
  <c r="Y153" i="6"/>
  <c r="Y163" i="6"/>
  <c r="Y30" i="6"/>
  <c r="Y383" i="6"/>
  <c r="Y269" i="6"/>
  <c r="Y402" i="6"/>
  <c r="Y8" i="6"/>
  <c r="Y57" i="6"/>
  <c r="Y242" i="6"/>
  <c r="Y361" i="6"/>
  <c r="Y447" i="6"/>
  <c r="Y384" i="6"/>
  <c r="Y48" i="6"/>
  <c r="Y122" i="6"/>
  <c r="Y68" i="6"/>
  <c r="Y119" i="6"/>
  <c r="Y436" i="6"/>
  <c r="Y335" i="6"/>
  <c r="Y337" i="6"/>
  <c r="Y359" i="6"/>
  <c r="Y352" i="6"/>
  <c r="Y40" i="6"/>
  <c r="Y69" i="6"/>
  <c r="Y105" i="6"/>
  <c r="Y79" i="6"/>
  <c r="Y75" i="6"/>
  <c r="Y253" i="6"/>
  <c r="Y94" i="6"/>
  <c r="Y256" i="6"/>
  <c r="Y370" i="6"/>
  <c r="Y466" i="6"/>
  <c r="Y24" i="6"/>
  <c r="Y37" i="6"/>
  <c r="Y83" i="6"/>
  <c r="Y47" i="6"/>
  <c r="Y74" i="6"/>
  <c r="Y222" i="6"/>
  <c r="Y375" i="6"/>
  <c r="Y33" i="6"/>
  <c r="Y409" i="6"/>
  <c r="Y22" i="6"/>
  <c r="Y380" i="6"/>
  <c r="Y54" i="6"/>
  <c r="Y297" i="6"/>
  <c r="Y43" i="6"/>
  <c r="Y433" i="6"/>
  <c r="Y432" i="6"/>
  <c r="Y429" i="6"/>
  <c r="Y371" i="6"/>
  <c r="Y51" i="6"/>
  <c r="Y461" i="6"/>
  <c r="Y340" i="6"/>
  <c r="Y305" i="6"/>
  <c r="Y44" i="6"/>
  <c r="Y346" i="6"/>
  <c r="Y247" i="6"/>
  <c r="Y376" i="6"/>
  <c r="Y302" i="6"/>
  <c r="Y454" i="6"/>
  <c r="Y458" i="6"/>
  <c r="Y231" i="6"/>
  <c r="Y332" i="6"/>
  <c r="Y367" i="6"/>
  <c r="Y308" i="6"/>
  <c r="Y15" i="6"/>
  <c r="Y291" i="6"/>
  <c r="Y430" i="6"/>
  <c r="Y106" i="6"/>
  <c r="Y304" i="6"/>
  <c r="Y431" i="6"/>
  <c r="Y130" i="6"/>
  <c r="Y196" i="6"/>
  <c r="Y240" i="6"/>
  <c r="Y349" i="6"/>
  <c r="Y468" i="6"/>
  <c r="Y467" i="6"/>
  <c r="Y363" i="6"/>
  <c r="Y20" i="6"/>
  <c r="Y330" i="6"/>
  <c r="Y294" i="6"/>
  <c r="Y286" i="6"/>
  <c r="Y390" i="6"/>
  <c r="Y262" i="6"/>
  <c r="Y412" i="6"/>
  <c r="Y397" i="6"/>
  <c r="Y35" i="6"/>
  <c r="Y438" i="6"/>
  <c r="Y424" i="6"/>
  <c r="Y357" i="6"/>
  <c r="Y449" i="6"/>
  <c r="Y219" i="6"/>
  <c r="Y405" i="6"/>
  <c r="Y452" i="6"/>
  <c r="Y108" i="6"/>
  <c r="Y289" i="6"/>
  <c r="Y442" i="6"/>
  <c r="Y368" i="6"/>
  <c r="Y300" i="6"/>
  <c r="Y284" i="6"/>
  <c r="Y278" i="6"/>
  <c r="Y303" i="6"/>
  <c r="Y336" i="6"/>
  <c r="Y354" i="6"/>
  <c r="Y283" i="6"/>
  <c r="Y422" i="6"/>
  <c r="Y385" i="6"/>
  <c r="Y413" i="6"/>
  <c r="Y401" i="6"/>
  <c r="Y345" i="6"/>
  <c r="Y259" i="6"/>
  <c r="Y435" i="6"/>
  <c r="Y67" i="6"/>
  <c r="Y453" i="6"/>
  <c r="Y377" i="6"/>
  <c r="Y434" i="6"/>
  <c r="Y296" i="6"/>
  <c r="Y386" i="6"/>
  <c r="Y193" i="6"/>
  <c r="Y444" i="6"/>
  <c r="Y208" i="6"/>
  <c r="Y152" i="6"/>
  <c r="Y221" i="6"/>
  <c r="Y77" i="6"/>
  <c r="Y128" i="6"/>
  <c r="Y166" i="6"/>
  <c r="Y216" i="6"/>
  <c r="Y311" i="6"/>
  <c r="Y465" i="6"/>
  <c r="Y185" i="6"/>
  <c r="Y229" i="6"/>
  <c r="Y306" i="6"/>
  <c r="Y298" i="6"/>
  <c r="Y290" i="6"/>
  <c r="Y266" i="6"/>
  <c r="Y317" i="6"/>
  <c r="Y460" i="6"/>
  <c r="Y455" i="6"/>
  <c r="Y273" i="6"/>
  <c r="Y115" i="6"/>
  <c r="Y25" i="6"/>
  <c r="Y457" i="6"/>
  <c r="Y174" i="6"/>
  <c r="Y10" i="6"/>
  <c r="Y66" i="6"/>
  <c r="Y456" i="6"/>
  <c r="Y31" i="6"/>
  <c r="Y11" i="6"/>
  <c r="Y154" i="6"/>
  <c r="Y421" i="6"/>
  <c r="Y411" i="6"/>
  <c r="Y274" i="6"/>
  <c r="Y324" i="6"/>
  <c r="Y172" i="6"/>
  <c r="Y236" i="6"/>
  <c r="Y261" i="6"/>
  <c r="Y344" i="6"/>
  <c r="Y369" i="6"/>
  <c r="Y270" i="6"/>
  <c r="Y197" i="6"/>
  <c r="Y406" i="6"/>
  <c r="Y244" i="6"/>
  <c r="Y41" i="6"/>
  <c r="Y260" i="6"/>
  <c r="Y32" i="6"/>
  <c r="Y104" i="6"/>
  <c r="Y150" i="6"/>
  <c r="Y192" i="6"/>
  <c r="Y333" i="6"/>
  <c r="Y312" i="6"/>
  <c r="Y338" i="6"/>
  <c r="Y441" i="6"/>
  <c r="Y90" i="6"/>
  <c r="Y206" i="6"/>
  <c r="Y252" i="6"/>
  <c r="Y230" i="6"/>
  <c r="Y224" i="6"/>
  <c r="Y204" i="6"/>
  <c r="Y292" i="6"/>
  <c r="Y443" i="6"/>
  <c r="Y439" i="6"/>
  <c r="Y318" i="6"/>
  <c r="Y89" i="6"/>
  <c r="Y141" i="6"/>
  <c r="Y246" i="6"/>
  <c r="Y437" i="6"/>
  <c r="Y235" i="6"/>
  <c r="Y167" i="6"/>
  <c r="Y257" i="6"/>
  <c r="Y203" i="6"/>
  <c r="Y451" i="6"/>
  <c r="Y28" i="6"/>
  <c r="Y118" i="6"/>
  <c r="Y165" i="6"/>
  <c r="Y407" i="6"/>
  <c r="Y23" i="6"/>
  <c r="Y321" i="6"/>
  <c r="Y428" i="6"/>
  <c r="Y464" i="6"/>
  <c r="Y387" i="6"/>
  <c r="Y52" i="6"/>
  <c r="Y127" i="6"/>
  <c r="Y232" i="6"/>
  <c r="Y265" i="6"/>
  <c r="Y181" i="6"/>
  <c r="Y205" i="6"/>
  <c r="Y202" i="6"/>
  <c r="Y187" i="6"/>
  <c r="Y348" i="6"/>
  <c r="Y427" i="6"/>
  <c r="Y382" i="6"/>
  <c r="Y258" i="6"/>
  <c r="Y364" i="6"/>
  <c r="Y207" i="6"/>
  <c r="Y223" i="6"/>
  <c r="Y400" i="6"/>
  <c r="Y103" i="6"/>
  <c r="Y147" i="6"/>
  <c r="Y214" i="6"/>
  <c r="Y295" i="6"/>
  <c r="Y287" i="6"/>
  <c r="Y254" i="6"/>
  <c r="Y138" i="6"/>
  <c r="Y180" i="6"/>
  <c r="Y159" i="6"/>
  <c r="Y176" i="6"/>
  <c r="Y164" i="6"/>
  <c r="Y398" i="6"/>
  <c r="Y313" i="6"/>
  <c r="Y314" i="6"/>
  <c r="Y140" i="6"/>
  <c r="Y241" i="6"/>
  <c r="Y29" i="6"/>
  <c r="Y200" i="6"/>
  <c r="Y408" i="6"/>
  <c r="Y366" i="6"/>
  <c r="Y50" i="6"/>
  <c r="Y125" i="6"/>
  <c r="Y191" i="6"/>
  <c r="Y315" i="6"/>
  <c r="Y293" i="6"/>
  <c r="Y342" i="6"/>
  <c r="Y88" i="6"/>
  <c r="Y114" i="6"/>
  <c r="Y136" i="6"/>
  <c r="Y135" i="6"/>
  <c r="Y157" i="6"/>
  <c r="Y158" i="6"/>
  <c r="Y251" i="6"/>
  <c r="Y239" i="6"/>
  <c r="Y281" i="6"/>
  <c r="Y132" i="6"/>
  <c r="Y328" i="6"/>
  <c r="Y331" i="6"/>
  <c r="Y160" i="6"/>
  <c r="Y225" i="6"/>
  <c r="Y268" i="6"/>
  <c r="Y353" i="6"/>
  <c r="Y404" i="6"/>
  <c r="Y85" i="6"/>
  <c r="Y170" i="6"/>
  <c r="Y347" i="6"/>
  <c r="Y301" i="6"/>
  <c r="Y339" i="6"/>
  <c r="Y326" i="6"/>
  <c r="Y282" i="6"/>
  <c r="Y55" i="6"/>
  <c r="Y151" i="6"/>
  <c r="Y218" i="6"/>
  <c r="Y329" i="6"/>
  <c r="Y446" i="6"/>
  <c r="Y280" i="6"/>
  <c r="Y45" i="6"/>
  <c r="Y87" i="6"/>
  <c r="Y171" i="6"/>
  <c r="Y288" i="6"/>
  <c r="Y39" i="6"/>
  <c r="Y113" i="6"/>
  <c r="Y179" i="6"/>
  <c r="Y243" i="6"/>
  <c r="Y327" i="6"/>
  <c r="Y445" i="6"/>
  <c r="Y53" i="6"/>
  <c r="Y137" i="6"/>
  <c r="Y245" i="6"/>
  <c r="Y448" i="6"/>
  <c r="Y372" i="6"/>
  <c r="Y373" i="6"/>
  <c r="Y374" i="6"/>
  <c r="Y111" i="6"/>
  <c r="Y238" i="6"/>
  <c r="Y275" i="6"/>
  <c r="Y155" i="6"/>
  <c r="Y316" i="6"/>
  <c r="Y379" i="6"/>
  <c r="Y149" i="6"/>
  <c r="Y210" i="6"/>
  <c r="Y81" i="6"/>
  <c r="Y248" i="6"/>
  <c r="Y395" i="6"/>
  <c r="Y139" i="6"/>
  <c r="Y325" i="6"/>
  <c r="Y355" i="6"/>
  <c r="Y133" i="6"/>
  <c r="Y194" i="6"/>
  <c r="Y70" i="6"/>
  <c r="Y144" i="6"/>
  <c r="Y250" i="6"/>
  <c r="Y65" i="6"/>
  <c r="Y161" i="6"/>
  <c r="Y234" i="6"/>
  <c r="Y394" i="6"/>
  <c r="Z7" i="6"/>
  <c r="Y58" i="6"/>
  <c r="Y220" i="6"/>
  <c r="Y463" i="6"/>
  <c r="Y123" i="6"/>
  <c r="Y276" i="6"/>
  <c r="Y381" i="6"/>
  <c r="Y117" i="6"/>
  <c r="Y177" i="6"/>
  <c r="X5" i="6"/>
  <c r="Y62" i="6"/>
  <c r="Y91" i="6"/>
  <c r="Y92" i="6"/>
  <c r="Y93" i="6"/>
  <c r="Y415" i="6"/>
  <c r="Y95" i="6"/>
  <c r="Y279" i="6"/>
  <c r="Y21" i="6"/>
  <c r="Y182" i="6"/>
  <c r="Y423" i="6"/>
  <c r="Y63" i="6"/>
  <c r="Y148" i="6"/>
  <c r="Y263" i="6"/>
  <c r="Y19" i="6"/>
  <c r="Y227" i="6"/>
  <c r="Y378" i="6"/>
  <c r="Y78" i="6"/>
  <c r="Y319" i="6"/>
  <c r="Y399" i="6"/>
  <c r="Y211" i="6"/>
  <c r="Y310" i="6"/>
  <c r="Z157" i="6"/>
  <c r="Z189" i="6" l="1"/>
  <c r="Z469" i="6"/>
  <c r="Z470" i="6"/>
  <c r="Z196" i="6"/>
  <c r="Z179" i="6"/>
  <c r="Z361" i="6"/>
  <c r="Z416" i="6"/>
  <c r="Z417" i="6"/>
  <c r="Z418" i="6"/>
  <c r="Z419" i="6"/>
  <c r="Z420" i="6"/>
  <c r="Z132" i="6"/>
  <c r="Z320" i="6"/>
  <c r="Z96" i="6"/>
  <c r="Z97" i="6"/>
  <c r="Z98" i="6"/>
  <c r="Z164" i="6"/>
  <c r="Z32" i="6"/>
  <c r="Z12" i="6"/>
  <c r="Z358" i="6"/>
  <c r="Z74" i="6"/>
  <c r="Z339" i="6"/>
  <c r="Z304" i="6"/>
  <c r="Z378" i="6"/>
  <c r="Z440" i="6"/>
  <c r="Z297" i="6"/>
  <c r="Z13" i="6"/>
  <c r="Z458" i="6"/>
  <c r="Z340" i="6"/>
  <c r="Z442" i="6"/>
  <c r="Z422" i="6"/>
  <c r="Z267" i="6"/>
  <c r="Z434" i="6"/>
  <c r="Z141" i="6"/>
  <c r="Z461" i="6"/>
  <c r="Z134" i="6"/>
  <c r="Z42" i="6"/>
  <c r="Z151" i="6"/>
  <c r="Z125" i="6"/>
  <c r="Z60" i="6"/>
  <c r="Z379" i="6"/>
  <c r="Z23" i="6"/>
  <c r="Z81" i="6"/>
  <c r="Z8" i="6"/>
  <c r="Z452" i="6"/>
  <c r="Z351" i="6"/>
  <c r="Z312" i="6"/>
  <c r="Y5" i="6"/>
  <c r="Z386" i="6"/>
  <c r="Z243" i="6"/>
  <c r="Z50" i="6"/>
  <c r="Z113" i="6"/>
  <c r="Z343" i="6"/>
  <c r="Z156" i="6"/>
  <c r="Z64" i="6"/>
  <c r="Z287" i="6"/>
  <c r="Z62" i="6"/>
  <c r="Z85" i="6"/>
  <c r="Z341" i="6"/>
  <c r="Z293" i="6"/>
  <c r="Z124" i="6"/>
  <c r="Z144" i="6"/>
  <c r="Z277" i="6"/>
  <c r="Z246" i="6"/>
  <c r="Z345" i="6"/>
  <c r="Z86" i="6"/>
  <c r="Z460" i="6"/>
  <c r="Z238" i="6"/>
  <c r="Z229" i="6"/>
  <c r="Z276" i="6"/>
  <c r="Z253" i="6"/>
  <c r="Z302" i="6"/>
  <c r="Z404" i="6"/>
  <c r="Z257" i="6"/>
  <c r="Z401" i="6"/>
  <c r="Z206" i="6"/>
  <c r="Z388" i="6"/>
  <c r="Z346" i="6"/>
  <c r="Z252" i="6"/>
  <c r="Z268" i="6"/>
  <c r="Z338" i="6"/>
  <c r="Z233" i="6"/>
  <c r="Z406" i="6"/>
  <c r="Z131" i="6"/>
  <c r="Z370" i="6"/>
  <c r="Z115" i="6"/>
  <c r="Z270" i="6"/>
  <c r="Z83" i="6"/>
  <c r="Z322" i="6"/>
  <c r="Z325" i="6"/>
  <c r="Z331" i="6"/>
  <c r="Z245" i="6"/>
  <c r="Z249" i="6"/>
  <c r="Z465" i="6"/>
  <c r="Z424" i="6"/>
  <c r="Z118" i="6"/>
  <c r="Z37" i="6"/>
  <c r="Z140" i="6"/>
  <c r="Z445" i="6"/>
  <c r="Z232" i="6"/>
  <c r="Z362" i="6"/>
  <c r="Z329" i="6"/>
  <c r="Z239" i="6"/>
  <c r="Z350" i="6"/>
  <c r="Z354" i="6"/>
  <c r="Z307" i="6"/>
  <c r="Z111" i="6"/>
  <c r="Z61" i="6"/>
  <c r="Z289" i="6"/>
  <c r="Z392" i="6"/>
  <c r="Z468" i="6"/>
  <c r="Z43" i="6"/>
  <c r="Z336" i="6"/>
  <c r="Z371" i="6"/>
  <c r="Z198" i="6"/>
  <c r="Z335" i="6"/>
  <c r="Z450" i="6"/>
  <c r="Z25" i="6"/>
  <c r="Z256" i="6"/>
  <c r="Z51" i="6"/>
  <c r="Z355" i="6"/>
  <c r="Z437" i="6"/>
  <c r="Z280" i="6"/>
  <c r="Z208" i="6"/>
  <c r="Z427" i="6"/>
  <c r="Z55" i="6"/>
  <c r="Z344" i="6"/>
  <c r="Z360" i="6"/>
  <c r="Z174" i="6"/>
  <c r="Z394" i="6"/>
  <c r="Z305" i="6"/>
  <c r="Z31" i="6"/>
  <c r="Z222" i="6"/>
  <c r="Z109" i="6"/>
  <c r="Z108" i="6"/>
  <c r="Z282" i="6"/>
  <c r="Z274" i="6"/>
  <c r="Z316" i="6"/>
  <c r="Z217" i="6"/>
  <c r="Z216" i="6"/>
  <c r="Z213" i="6"/>
  <c r="Z457" i="6"/>
  <c r="Z148" i="6"/>
  <c r="Z283" i="6"/>
  <c r="Z72" i="6"/>
  <c r="Z309" i="6"/>
  <c r="Z106" i="6"/>
  <c r="Z52" i="6"/>
  <c r="Z377" i="6"/>
  <c r="Z431" i="6"/>
  <c r="Z69" i="6"/>
  <c r="Z308" i="6"/>
  <c r="Z393" i="6"/>
  <c r="Z191" i="6"/>
  <c r="Z412" i="6"/>
  <c r="Z29" i="6"/>
  <c r="Z271" i="6"/>
  <c r="Z330" i="6"/>
  <c r="Z363" i="6"/>
  <c r="Z190" i="6"/>
  <c r="Z313" i="6"/>
  <c r="Z90" i="6"/>
  <c r="Z79" i="6"/>
  <c r="Z318" i="6"/>
  <c r="Z317" i="6"/>
  <c r="Z405" i="6"/>
  <c r="Z184" i="6"/>
  <c r="Z183" i="6"/>
  <c r="Z180" i="6"/>
  <c r="Z425" i="6"/>
  <c r="Z116" i="6"/>
  <c r="Z284" i="6"/>
  <c r="Z34" i="6"/>
  <c r="Z242" i="6"/>
  <c r="Z82" i="6"/>
  <c r="Z92" i="6"/>
  <c r="Z94" i="6"/>
  <c r="Z201" i="6"/>
  <c r="Z197" i="6"/>
  <c r="Z278" i="6"/>
  <c r="Z385" i="6"/>
  <c r="Z173" i="6"/>
  <c r="Z45" i="6"/>
  <c r="Z44" i="6"/>
  <c r="Z235" i="6"/>
  <c r="Z234" i="6"/>
  <c r="Z364" i="6"/>
  <c r="Z169" i="6"/>
  <c r="Z168" i="6"/>
  <c r="Z165" i="6"/>
  <c r="Z390" i="6"/>
  <c r="Z99" i="6"/>
  <c r="Z255" i="6"/>
  <c r="Z15" i="6"/>
  <c r="Z226" i="6"/>
  <c r="Z49" i="6"/>
  <c r="Z91" i="6"/>
  <c r="Z71" i="6"/>
  <c r="Z244" i="6"/>
  <c r="Z230" i="6"/>
  <c r="Z273" i="6"/>
  <c r="Z410" i="6"/>
  <c r="Z160" i="6"/>
  <c r="Z342" i="6"/>
  <c r="Z407" i="6"/>
  <c r="Z199" i="6"/>
  <c r="Z421" i="6"/>
  <c r="Z47" i="6"/>
  <c r="Z295" i="6"/>
  <c r="Z352" i="6"/>
  <c r="Z166" i="6"/>
  <c r="Z250" i="6"/>
  <c r="Z264" i="6"/>
  <c r="Z158" i="6"/>
  <c r="Z314" i="6"/>
  <c r="Z27" i="6"/>
  <c r="Z26" i="6"/>
  <c r="Z219" i="6"/>
  <c r="Z218" i="6"/>
  <c r="Z464" i="6"/>
  <c r="Z153" i="6"/>
  <c r="Z152" i="6"/>
  <c r="Z149" i="6"/>
  <c r="Z291" i="6"/>
  <c r="Z89" i="6"/>
  <c r="Z315" i="6"/>
  <c r="Z387" i="6"/>
  <c r="Z210" i="6"/>
  <c r="Z33" i="6"/>
  <c r="AA7" i="6"/>
  <c r="Z87" i="6"/>
  <c r="Z332" i="6"/>
  <c r="Z462" i="6"/>
  <c r="Z135" i="6"/>
  <c r="Z259" i="6"/>
  <c r="Z182" i="6"/>
  <c r="Z240" i="6"/>
  <c r="Z443" i="6"/>
  <c r="Z101" i="6"/>
  <c r="Z241" i="6"/>
  <c r="Z451" i="6"/>
  <c r="Z142" i="6"/>
  <c r="Z298" i="6"/>
  <c r="Z290" i="6"/>
  <c r="Z272" i="6"/>
  <c r="Z203" i="6"/>
  <c r="Z202" i="6"/>
  <c r="Z446" i="6"/>
  <c r="Z137" i="6"/>
  <c r="Z136" i="6"/>
  <c r="Z133" i="6"/>
  <c r="Z324" i="6"/>
  <c r="Z53" i="6"/>
  <c r="Z248" i="6"/>
  <c r="Z380" i="6"/>
  <c r="Z194" i="6"/>
  <c r="Z17" i="6"/>
  <c r="Z127" i="6"/>
  <c r="Z367" i="6"/>
  <c r="Z223" i="6"/>
  <c r="Z428" i="6"/>
  <c r="Z260" i="6"/>
  <c r="Z175" i="6"/>
  <c r="Z398" i="6"/>
  <c r="Z19" i="6"/>
  <c r="Z225" i="6"/>
  <c r="Z435" i="6"/>
  <c r="Z126" i="6"/>
  <c r="Z269" i="6"/>
  <c r="Z261" i="6"/>
  <c r="Z359" i="6"/>
  <c r="Z186" i="6"/>
  <c r="Z185" i="6"/>
  <c r="Z430" i="6"/>
  <c r="Z121" i="6"/>
  <c r="Z120" i="6"/>
  <c r="Z117" i="6"/>
  <c r="Z292" i="6"/>
  <c r="Z35" i="6"/>
  <c r="Z73" i="6"/>
  <c r="Z408" i="6"/>
  <c r="Z177" i="6"/>
  <c r="Z14" i="6"/>
  <c r="Z396" i="6"/>
  <c r="Z467" i="6"/>
  <c r="Z214" i="6"/>
  <c r="Z57" i="6"/>
  <c r="Z119" i="6"/>
  <c r="Z159" i="6"/>
  <c r="Z150" i="6"/>
  <c r="Z337" i="6"/>
  <c r="Z399" i="6"/>
  <c r="Z251" i="6"/>
  <c r="Z38" i="6"/>
  <c r="Z112" i="6"/>
  <c r="Z262" i="6"/>
  <c r="Z383" i="6"/>
  <c r="Z209" i="6"/>
  <c r="Z110" i="6"/>
  <c r="Z321" i="6"/>
  <c r="Z319" i="6"/>
  <c r="Z288" i="6"/>
  <c r="Z171" i="6"/>
  <c r="Z170" i="6"/>
  <c r="Z413" i="6"/>
  <c r="Z104" i="6"/>
  <c r="Z103" i="6"/>
  <c r="Z100" i="6"/>
  <c r="Z263" i="6"/>
  <c r="Z16" i="6"/>
  <c r="Z227" i="6"/>
  <c r="Z409" i="6"/>
  <c r="Z162" i="6"/>
  <c r="Z448" i="6"/>
  <c r="Z372" i="6"/>
  <c r="Z373" i="6"/>
  <c r="Z374" i="6"/>
  <c r="Z224" i="6"/>
  <c r="Z447" i="6"/>
  <c r="Z192" i="6"/>
  <c r="Z279" i="6"/>
  <c r="Z66" i="6"/>
  <c r="Z237" i="6"/>
  <c r="Z236" i="6"/>
  <c r="Z466" i="6"/>
  <c r="Z155" i="6"/>
  <c r="Z154" i="6"/>
  <c r="Z403" i="6"/>
  <c r="Z65" i="6"/>
  <c r="Z333" i="6"/>
  <c r="Z211" i="6"/>
  <c r="Z455" i="6"/>
  <c r="Z146" i="6"/>
  <c r="Z67" i="6"/>
  <c r="Z77" i="6"/>
  <c r="Z414" i="6"/>
  <c r="Z376" i="6"/>
  <c r="Z88" i="6"/>
  <c r="Z433" i="6"/>
  <c r="Z10" i="6"/>
  <c r="Z459" i="6"/>
  <c r="Z294" i="6"/>
  <c r="Z400" i="6"/>
  <c r="Z231" i="6"/>
  <c r="Z397" i="6"/>
  <c r="Z176" i="6"/>
  <c r="Z323" i="6"/>
  <c r="Z46" i="6"/>
  <c r="Z221" i="6"/>
  <c r="Z220" i="6"/>
  <c r="Z449" i="6"/>
  <c r="Z139" i="6"/>
  <c r="Z138" i="6"/>
  <c r="Z286" i="6"/>
  <c r="Z59" i="6"/>
  <c r="Z58" i="6"/>
  <c r="Z54" i="6"/>
  <c r="Z247" i="6"/>
  <c r="Z384" i="6"/>
  <c r="Z195" i="6"/>
  <c r="Z439" i="6"/>
  <c r="Z130" i="6"/>
  <c r="Z56" i="6"/>
  <c r="Z93" i="6"/>
  <c r="Z368" i="6"/>
  <c r="Z453" i="6"/>
  <c r="Z78" i="6"/>
  <c r="Z30" i="6"/>
  <c r="Z193" i="6"/>
  <c r="Z95" i="6"/>
  <c r="Z48" i="6"/>
  <c r="Z161" i="6"/>
  <c r="Z28" i="6"/>
  <c r="Z204" i="6"/>
  <c r="Z432" i="6"/>
  <c r="Z123" i="6"/>
  <c r="Z122" i="6"/>
  <c r="Z326" i="6"/>
  <c r="Z41" i="6"/>
  <c r="Z39" i="6"/>
  <c r="Z36" i="6"/>
  <c r="Z9" i="6"/>
  <c r="Z178" i="6"/>
  <c r="Z423" i="6"/>
  <c r="Z114" i="6"/>
  <c r="Z40" i="6"/>
  <c r="Z334" i="6"/>
  <c r="Z200" i="6"/>
  <c r="Z441" i="6"/>
  <c r="Z301" i="6"/>
  <c r="Z327" i="6"/>
  <c r="Z369" i="6"/>
  <c r="Z348" i="6"/>
  <c r="Z463" i="6"/>
  <c r="Z143" i="6"/>
  <c r="Z299" i="6"/>
  <c r="Z375" i="6"/>
  <c r="Z70" i="6"/>
  <c r="Z444" i="6"/>
  <c r="Z102" i="6"/>
  <c r="Z454" i="6"/>
  <c r="Z145" i="6"/>
  <c r="Z328" i="6"/>
  <c r="Z366" i="6"/>
  <c r="Z188" i="6"/>
  <c r="Z187" i="6"/>
  <c r="Z415" i="6"/>
  <c r="Z107" i="6"/>
  <c r="Z105" i="6"/>
  <c r="Z303" i="6"/>
  <c r="Z22" i="6"/>
  <c r="Z21" i="6"/>
  <c r="Z18" i="6"/>
  <c r="Z228" i="6"/>
  <c r="Z254" i="6"/>
  <c r="Z163" i="6"/>
  <c r="Z382" i="6"/>
  <c r="Z80" i="6"/>
  <c r="Z24" i="6"/>
  <c r="Z347" i="6"/>
  <c r="Z296" i="6"/>
  <c r="Z365" i="6"/>
  <c r="Z391" i="6"/>
  <c r="Z357" i="6"/>
  <c r="Z285" i="6"/>
  <c r="Z128" i="6"/>
  <c r="Z265" i="6"/>
  <c r="Z11" i="6"/>
  <c r="Z207" i="6"/>
  <c r="Z426" i="6"/>
  <c r="Z311" i="6"/>
  <c r="Z356" i="6"/>
  <c r="Z167" i="6"/>
  <c r="Z402" i="6"/>
  <c r="Z281" i="6"/>
  <c r="Z205" i="6"/>
  <c r="Z436" i="6"/>
  <c r="Z310" i="6"/>
  <c r="Z215" i="6"/>
  <c r="Z429" i="6"/>
  <c r="Z300" i="6"/>
  <c r="Z389" i="6"/>
  <c r="Z181" i="6"/>
  <c r="Z411" i="6"/>
  <c r="Z20" i="6"/>
  <c r="Z438" i="6"/>
  <c r="Z129" i="6"/>
  <c r="Z306" i="6"/>
  <c r="Z381" i="6"/>
  <c r="Z172" i="6"/>
  <c r="Z76" i="6"/>
  <c r="Z353" i="6"/>
  <c r="Z84" i="6"/>
  <c r="Z68" i="6"/>
  <c r="Z266" i="6"/>
  <c r="Z258" i="6"/>
  <c r="Z349" i="6"/>
  <c r="Z395" i="6"/>
  <c r="Z212" i="6"/>
  <c r="Z456" i="6"/>
  <c r="Z147" i="6"/>
  <c r="Z275" i="6"/>
  <c r="Z63" i="6"/>
  <c r="Z75" i="6"/>
  <c r="AA189" i="6" l="1"/>
  <c r="AA470" i="6"/>
  <c r="AA469" i="6"/>
  <c r="AA416" i="6"/>
  <c r="AA417" i="6"/>
  <c r="AA418" i="6"/>
  <c r="AA419" i="6"/>
  <c r="AA420" i="6"/>
  <c r="AA320" i="6"/>
  <c r="AA97" i="6"/>
  <c r="AA98" i="6"/>
  <c r="AA96" i="6"/>
  <c r="AA390" i="6"/>
  <c r="AA264" i="6"/>
  <c r="AA358" i="6"/>
  <c r="AA459" i="6"/>
  <c r="AA339" i="6"/>
  <c r="AA136" i="6"/>
  <c r="AA54" i="6"/>
  <c r="AA398" i="6"/>
  <c r="AA427" i="6"/>
  <c r="AA39" i="6"/>
  <c r="AA375" i="6"/>
  <c r="AA129" i="6"/>
  <c r="AA359" i="6"/>
  <c r="AA288" i="6"/>
  <c r="AA117" i="6"/>
  <c r="AA23" i="6"/>
  <c r="AA323" i="6"/>
  <c r="AA11" i="6"/>
  <c r="AA95" i="6"/>
  <c r="AA107" i="6"/>
  <c r="AA213" i="6"/>
  <c r="AA315" i="6"/>
  <c r="AA138" i="6"/>
  <c r="AA161" i="6"/>
  <c r="AA89" i="6"/>
  <c r="AA272" i="6"/>
  <c r="AA282" i="6"/>
  <c r="AA247" i="6"/>
  <c r="AA303" i="6"/>
  <c r="AA341" i="6"/>
  <c r="AA65" i="6"/>
  <c r="AA307" i="6"/>
  <c r="AA181" i="6"/>
  <c r="AA399" i="6"/>
  <c r="AA195" i="6"/>
  <c r="AA151" i="6"/>
  <c r="AA232" i="6"/>
  <c r="AA265" i="6"/>
  <c r="AA283" i="6"/>
  <c r="AA174" i="6"/>
  <c r="AA79" i="6"/>
  <c r="AA105" i="6"/>
  <c r="AA276" i="6"/>
  <c r="AA49" i="6"/>
  <c r="AA86" i="6"/>
  <c r="AA402" i="6"/>
  <c r="AA329" i="6"/>
  <c r="AA29" i="6"/>
  <c r="AA452" i="6"/>
  <c r="AA130" i="6"/>
  <c r="AA200" i="6"/>
  <c r="AA102" i="6"/>
  <c r="AA13" i="6"/>
  <c r="AA356" i="6"/>
  <c r="AA128" i="6"/>
  <c r="AA190" i="6"/>
  <c r="AA386" i="6"/>
  <c r="AA367" i="6"/>
  <c r="AA379" i="6"/>
  <c r="AA248" i="6"/>
  <c r="AA149" i="6"/>
  <c r="AA392" i="6"/>
  <c r="AA99" i="6"/>
  <c r="AA146" i="6"/>
  <c r="AA439" i="6"/>
  <c r="AA354" i="6"/>
  <c r="AA147" i="6"/>
  <c r="AA397" i="6"/>
  <c r="AA403" i="6"/>
  <c r="AA118" i="6"/>
  <c r="AA28" i="6"/>
  <c r="AA69" i="6"/>
  <c r="AA355" i="6"/>
  <c r="AA222" i="6"/>
  <c r="AA91" i="6"/>
  <c r="AA178" i="6"/>
  <c r="AA73" i="6"/>
  <c r="AA198" i="6"/>
  <c r="AA266" i="6"/>
  <c r="AA428" i="6"/>
  <c r="AA353" i="6"/>
  <c r="AA179" i="6"/>
  <c r="AA309" i="6"/>
  <c r="AA203" i="6"/>
  <c r="Z5" i="6"/>
  <c r="AA33" i="6"/>
  <c r="AA448" i="6"/>
  <c r="AA372" i="6"/>
  <c r="AA373" i="6"/>
  <c r="AA374" i="6"/>
  <c r="AA235" i="6"/>
  <c r="AA324" i="6"/>
  <c r="AA330" i="6"/>
  <c r="AA382" i="6"/>
  <c r="AA302" i="6"/>
  <c r="AA384" i="6"/>
  <c r="AA64" i="6"/>
  <c r="AA63" i="6"/>
  <c r="AA176" i="6"/>
  <c r="AA274" i="6"/>
  <c r="AA342" i="6"/>
  <c r="AA437" i="6"/>
  <c r="AA286" i="6"/>
  <c r="AA53" i="6"/>
  <c r="AA158" i="6"/>
  <c r="AA17" i="6"/>
  <c r="AA388" i="6"/>
  <c r="AA215" i="6"/>
  <c r="AA273" i="6"/>
  <c r="AA57" i="6"/>
  <c r="AA154" i="6"/>
  <c r="AA212" i="6"/>
  <c r="AA436" i="6"/>
  <c r="AA140" i="6"/>
  <c r="AA451" i="6"/>
  <c r="AA44" i="6"/>
  <c r="AA270" i="6"/>
  <c r="AA364" i="6"/>
  <c r="AA133" i="6"/>
  <c r="AA277" i="6"/>
  <c r="AA325" i="6"/>
  <c r="AA449" i="6"/>
  <c r="AA393" i="6"/>
  <c r="AA38" i="6"/>
  <c r="AA37" i="6"/>
  <c r="AA253" i="6"/>
  <c r="AA304" i="6"/>
  <c r="AA295" i="6"/>
  <c r="AA415" i="6"/>
  <c r="AA352" i="6"/>
  <c r="AA22" i="6"/>
  <c r="AA172" i="6"/>
  <c r="AA30" i="6"/>
  <c r="AA313" i="6"/>
  <c r="AA202" i="6"/>
  <c r="AA230" i="6"/>
  <c r="AA41" i="6"/>
  <c r="AA220" i="6"/>
  <c r="AA237" i="6"/>
  <c r="AA119" i="6"/>
  <c r="AA210" i="6"/>
  <c r="AA250" i="6"/>
  <c r="AA284" i="6"/>
  <c r="AA58" i="6"/>
  <c r="AA183" i="6"/>
  <c r="AA246" i="6"/>
  <c r="AA180" i="6"/>
  <c r="AA363" i="6"/>
  <c r="AA8" i="6"/>
  <c r="AA111" i="6"/>
  <c r="AA150" i="6"/>
  <c r="AA165" i="6"/>
  <c r="AA260" i="6"/>
  <c r="AA426" i="6"/>
  <c r="AA10" i="6"/>
  <c r="AA380" i="6"/>
  <c r="AA366" i="6"/>
  <c r="AA120" i="6"/>
  <c r="AA244" i="6"/>
  <c r="AA348" i="6"/>
  <c r="AA321" i="6"/>
  <c r="AA457" i="6"/>
  <c r="AA299" i="6"/>
  <c r="AA78" i="6"/>
  <c r="AA14" i="6"/>
  <c r="AA275" i="6"/>
  <c r="AA167" i="6"/>
  <c r="AA242" i="6"/>
  <c r="AA25" i="6"/>
  <c r="AA241" i="6"/>
  <c r="AA157" i="6"/>
  <c r="AA369" i="6"/>
  <c r="AA82" i="6"/>
  <c r="AA217" i="6"/>
  <c r="AA463" i="6"/>
  <c r="AA453" i="6"/>
  <c r="AA139" i="6"/>
  <c r="AA76" i="6"/>
  <c r="AA191" i="6"/>
  <c r="AA269" i="6"/>
  <c r="AA344" i="6"/>
  <c r="AA425" i="6"/>
  <c r="AA468" i="6"/>
  <c r="AA370" i="6"/>
  <c r="AA90" i="6"/>
  <c r="AA226" i="6"/>
  <c r="AA231" i="6"/>
  <c r="AA287" i="6"/>
  <c r="AA414" i="6"/>
  <c r="AA294" i="6"/>
  <c r="AA21" i="6"/>
  <c r="AA218" i="6"/>
  <c r="AA445" i="6"/>
  <c r="AA137" i="6"/>
  <c r="AA335" i="6"/>
  <c r="AA410" i="6"/>
  <c r="AA108" i="6"/>
  <c r="AA126" i="6"/>
  <c r="AA343" i="6"/>
  <c r="AA50" i="6"/>
  <c r="AA351" i="6"/>
  <c r="AA243" i="6"/>
  <c r="AA365" i="6"/>
  <c r="AA446" i="6"/>
  <c r="AA376" i="6"/>
  <c r="AA62" i="6"/>
  <c r="AA155" i="6"/>
  <c r="AA228" i="6"/>
  <c r="AA349" i="6"/>
  <c r="AA310" i="6"/>
  <c r="AA456" i="6"/>
  <c r="AA196" i="6"/>
  <c r="AA110" i="6"/>
  <c r="AA429" i="6"/>
  <c r="AA173" i="6"/>
  <c r="AA122" i="6"/>
  <c r="AA454" i="6"/>
  <c r="AA134" i="6"/>
  <c r="AA148" i="6"/>
  <c r="AA318" i="6"/>
  <c r="AA34" i="6"/>
  <c r="AA267" i="6"/>
  <c r="AA441" i="6"/>
  <c r="AA305" i="6"/>
  <c r="AA32" i="6"/>
  <c r="AA224" i="6"/>
  <c r="AA327" i="6"/>
  <c r="AA412" i="6"/>
  <c r="AA59" i="6"/>
  <c r="AA206" i="6"/>
  <c r="AA438" i="6"/>
  <c r="AA156" i="6"/>
  <c r="AA127" i="6"/>
  <c r="AA306" i="6"/>
  <c r="AA18" i="6"/>
  <c r="AA12" i="6"/>
  <c r="AA221" i="6"/>
  <c r="AA334" i="6"/>
  <c r="AA435" i="6"/>
  <c r="AA106" i="6"/>
  <c r="AA166" i="6"/>
  <c r="AA340" i="6"/>
  <c r="AA66" i="6"/>
  <c r="AA223" i="6"/>
  <c r="AA47" i="6"/>
  <c r="AA331" i="6"/>
  <c r="AA406" i="6"/>
  <c r="AA405" i="6"/>
  <c r="AA170" i="6"/>
  <c r="AA424" i="6"/>
  <c r="AA171" i="6"/>
  <c r="AA434" i="6"/>
  <c r="AA407" i="6"/>
  <c r="AA394" i="6"/>
  <c r="AA395" i="6"/>
  <c r="AA182" i="6"/>
  <c r="AA361" i="6"/>
  <c r="AA383" i="6"/>
  <c r="AA123" i="6"/>
  <c r="AA279" i="6"/>
  <c r="AA413" i="6"/>
  <c r="AA141" i="6"/>
  <c r="AA153" i="6"/>
  <c r="AA9" i="6"/>
  <c r="AA240" i="6"/>
  <c r="AA422" i="6"/>
  <c r="AA135" i="6"/>
  <c r="AA83" i="6"/>
  <c r="AA293" i="6"/>
  <c r="AA75" i="6"/>
  <c r="AA432" i="6"/>
  <c r="AA317" i="6"/>
  <c r="AA188" i="6"/>
  <c r="AA332" i="6"/>
  <c r="AA259" i="6"/>
  <c r="AA194" i="6"/>
  <c r="AA56" i="6"/>
  <c r="AA301" i="6"/>
  <c r="AA16" i="6"/>
  <c r="AA209" i="6"/>
  <c r="AA385" i="6"/>
  <c r="AA177" i="6"/>
  <c r="AA229" i="6"/>
  <c r="AA311" i="6"/>
  <c r="AA431" i="6"/>
  <c r="AB7" i="6"/>
  <c r="AA455" i="6"/>
  <c r="AA143" i="6"/>
  <c r="AA227" i="6"/>
  <c r="AA328" i="6"/>
  <c r="AA467" i="6"/>
  <c r="AA88" i="6"/>
  <c r="AA245" i="6"/>
  <c r="AA43" i="6"/>
  <c r="AA465" i="6"/>
  <c r="AA236" i="6"/>
  <c r="AA346" i="6"/>
  <c r="AA285" i="6"/>
  <c r="AA316" i="6"/>
  <c r="AA433" i="6"/>
  <c r="AA400" i="6"/>
  <c r="AA71" i="6"/>
  <c r="AA160" i="6"/>
  <c r="AA201" i="6"/>
  <c r="AA298" i="6"/>
  <c r="AA297" i="6"/>
  <c r="AA444" i="6"/>
  <c r="AA371" i="6"/>
  <c r="AA60" i="6"/>
  <c r="AA116" i="6"/>
  <c r="AA249" i="6"/>
  <c r="AA333" i="6"/>
  <c r="AA291" i="6"/>
  <c r="AA168" i="6"/>
  <c r="AA175" i="6"/>
  <c r="AA289" i="6"/>
  <c r="AA27" i="6"/>
  <c r="AA199" i="6"/>
  <c r="AA378" i="6"/>
  <c r="AA84" i="6"/>
  <c r="AA67" i="6"/>
  <c r="AA256" i="6"/>
  <c r="AA74" i="6"/>
  <c r="AA389" i="6"/>
  <c r="AA48" i="6"/>
  <c r="AA258" i="6"/>
  <c r="AA404" i="6"/>
  <c r="AA26" i="6"/>
  <c r="AA101" i="6"/>
  <c r="AA261" i="6"/>
  <c r="AA131" i="6"/>
  <c r="AA257" i="6"/>
  <c r="AA87" i="6"/>
  <c r="AA207" i="6"/>
  <c r="AA46" i="6"/>
  <c r="AA192" i="6"/>
  <c r="AA411" i="6"/>
  <c r="AA337" i="6"/>
  <c r="AA42" i="6"/>
  <c r="AA162" i="6"/>
  <c r="AA112" i="6"/>
  <c r="AA350" i="6"/>
  <c r="AA314" i="6"/>
  <c r="AA423" i="6"/>
  <c r="AA377" i="6"/>
  <c r="AA31" i="6"/>
  <c r="AA85" i="6"/>
  <c r="AA103" i="6"/>
  <c r="AA216" i="6"/>
  <c r="AA308" i="6"/>
  <c r="AA104" i="6"/>
  <c r="AA94" i="6"/>
  <c r="AA268" i="6"/>
  <c r="AA408" i="6"/>
  <c r="AA185" i="6"/>
  <c r="AA322" i="6"/>
  <c r="AA68" i="6"/>
  <c r="AA51" i="6"/>
  <c r="AA186" i="6"/>
  <c r="AA458" i="6"/>
  <c r="AA447" i="6"/>
  <c r="AA381" i="6"/>
  <c r="AA464" i="6"/>
  <c r="AA338" i="6"/>
  <c r="AA219" i="6"/>
  <c r="AA290" i="6"/>
  <c r="AA357" i="6"/>
  <c r="AA336" i="6"/>
  <c r="AA55" i="6"/>
  <c r="AA113" i="6"/>
  <c r="AA214" i="6"/>
  <c r="AA271" i="6"/>
  <c r="AA132" i="6"/>
  <c r="AA77" i="6"/>
  <c r="AA263" i="6"/>
  <c r="AA205" i="6"/>
  <c r="AA152" i="6"/>
  <c r="AA326" i="6"/>
  <c r="AA52" i="6"/>
  <c r="AA35" i="6"/>
  <c r="AA225" i="6"/>
  <c r="AA461" i="6"/>
  <c r="AA280" i="6"/>
  <c r="AA115" i="6"/>
  <c r="AA163" i="6"/>
  <c r="AA281" i="6"/>
  <c r="AA61" i="6"/>
  <c r="AA204" i="6"/>
  <c r="AA164" i="6"/>
  <c r="AA109" i="6"/>
  <c r="AA251" i="6"/>
  <c r="AA238" i="6"/>
  <c r="AA239" i="6"/>
  <c r="AA72" i="6"/>
  <c r="AA368" i="6"/>
  <c r="AA142" i="6"/>
  <c r="AA409" i="6"/>
  <c r="AA391" i="6"/>
  <c r="AA144" i="6"/>
  <c r="AA466" i="6"/>
  <c r="AA362" i="6"/>
  <c r="AA124" i="6"/>
  <c r="AA262" i="6"/>
  <c r="AA15" i="6"/>
  <c r="AA300" i="6"/>
  <c r="AA450" i="6"/>
  <c r="AA396" i="6"/>
  <c r="AA70" i="6"/>
  <c r="AA145" i="6"/>
  <c r="AA193" i="6"/>
  <c r="AA211" i="6"/>
  <c r="AA442" i="6"/>
  <c r="AA360" i="6"/>
  <c r="AA24" i="6"/>
  <c r="AA100" i="6"/>
  <c r="AA187" i="6"/>
  <c r="AA319" i="6"/>
  <c r="AA114" i="6"/>
  <c r="AA197" i="6"/>
  <c r="AA460" i="6"/>
  <c r="AA169" i="6"/>
  <c r="AA345" i="6"/>
  <c r="AA36" i="6"/>
  <c r="AA19" i="6"/>
  <c r="AA93" i="6"/>
  <c r="AA159" i="6"/>
  <c r="AA440" i="6"/>
  <c r="AA292" i="6"/>
  <c r="AA296" i="6"/>
  <c r="AA125" i="6"/>
  <c r="AA255" i="6"/>
  <c r="AA430" i="6"/>
  <c r="AA401" i="6"/>
  <c r="AA40" i="6"/>
  <c r="AA252" i="6"/>
  <c r="AA184" i="6"/>
  <c r="AA234" i="6"/>
  <c r="AA421" i="6"/>
  <c r="AA462" i="6"/>
  <c r="AA387" i="6"/>
  <c r="AA80" i="6"/>
  <c r="AA254" i="6"/>
  <c r="AA208" i="6"/>
  <c r="AA81" i="6"/>
  <c r="AA45" i="6"/>
  <c r="AA312" i="6"/>
  <c r="AA443" i="6"/>
  <c r="AA121" i="6"/>
  <c r="AA347" i="6"/>
  <c r="AA20" i="6"/>
  <c r="AA278" i="6"/>
  <c r="AA233" i="6"/>
  <c r="AA92" i="6"/>
  <c r="AB189" i="6" l="1"/>
  <c r="AB470" i="6"/>
  <c r="AB469" i="6"/>
  <c r="AB316" i="6"/>
  <c r="AB419" i="6"/>
  <c r="AB418" i="6"/>
  <c r="AB416" i="6"/>
  <c r="AB417" i="6"/>
  <c r="AB420" i="6"/>
  <c r="AB431" i="6"/>
  <c r="AB320" i="6"/>
  <c r="AB96" i="6"/>
  <c r="AB97" i="6"/>
  <c r="AB98" i="6"/>
  <c r="AB125" i="6"/>
  <c r="AB162" i="6"/>
  <c r="AB358" i="6"/>
  <c r="AB359" i="6"/>
  <c r="AB217" i="6"/>
  <c r="AB165" i="6"/>
  <c r="AB299" i="6"/>
  <c r="AB300" i="6"/>
  <c r="AB310" i="6"/>
  <c r="AB236" i="6"/>
  <c r="AB63" i="6"/>
  <c r="AB415" i="6"/>
  <c r="AB55" i="6"/>
  <c r="AB47" i="6"/>
  <c r="AB71" i="6"/>
  <c r="AB363" i="6"/>
  <c r="AB39" i="6"/>
  <c r="AB31" i="6"/>
  <c r="AB109" i="6"/>
  <c r="AB232" i="6"/>
  <c r="AB131" i="6"/>
  <c r="AB181" i="6"/>
  <c r="AB280" i="6"/>
  <c r="AB264" i="6"/>
  <c r="AB17" i="6"/>
  <c r="AB342" i="6"/>
  <c r="AB216" i="6"/>
  <c r="AB427" i="6"/>
  <c r="AB467" i="6"/>
  <c r="AB348" i="6"/>
  <c r="AB112" i="6"/>
  <c r="AB408" i="6"/>
  <c r="AB127" i="6"/>
  <c r="AB248" i="6"/>
  <c r="AB118" i="6"/>
  <c r="AB277" i="6"/>
  <c r="AB364" i="6"/>
  <c r="AB261" i="6"/>
  <c r="AB84" i="6"/>
  <c r="AB326" i="6"/>
  <c r="AB160" i="6"/>
  <c r="AB68" i="6"/>
  <c r="AB466" i="6"/>
  <c r="AB24" i="6"/>
  <c r="AB412" i="6"/>
  <c r="AB441" i="6"/>
  <c r="AB396" i="6"/>
  <c r="AB347" i="6"/>
  <c r="AB319" i="6"/>
  <c r="AB344" i="6"/>
  <c r="AB429" i="6"/>
  <c r="AB305" i="6"/>
  <c r="AB100" i="6"/>
  <c r="AB426" i="6"/>
  <c r="AB215" i="6"/>
  <c r="AB302" i="6"/>
  <c r="AB166" i="6"/>
  <c r="AB167" i="6"/>
  <c r="AB339" i="6"/>
  <c r="AB77" i="6"/>
  <c r="AB107" i="6"/>
  <c r="AB323" i="6"/>
  <c r="AB182" i="6"/>
  <c r="AB61" i="6"/>
  <c r="AB397" i="6"/>
  <c r="AB263" i="6"/>
  <c r="AB244" i="6"/>
  <c r="AB301" i="6"/>
  <c r="AB411" i="6"/>
  <c r="AB153" i="6"/>
  <c r="AB113" i="6"/>
  <c r="AB308" i="6"/>
  <c r="AB384" i="6"/>
  <c r="AB23" i="6"/>
  <c r="AB200" i="6"/>
  <c r="AB135" i="6"/>
  <c r="AB52" i="6"/>
  <c r="AB168" i="6"/>
  <c r="AB460" i="6"/>
  <c r="AB45" i="6"/>
  <c r="AB237" i="6"/>
  <c r="AB141" i="6"/>
  <c r="AB173" i="6"/>
  <c r="AB129" i="6"/>
  <c r="AB292" i="6"/>
  <c r="AB110" i="6"/>
  <c r="AB354" i="6"/>
  <c r="AB86" i="6"/>
  <c r="AB401" i="6"/>
  <c r="AB108" i="6"/>
  <c r="AB104" i="6"/>
  <c r="AB435" i="6"/>
  <c r="AB29" i="6"/>
  <c r="AB103" i="6"/>
  <c r="AB367" i="6"/>
  <c r="AB70" i="6"/>
  <c r="AB410" i="6"/>
  <c r="AB134" i="6"/>
  <c r="AB132" i="6"/>
  <c r="AB380" i="6"/>
  <c r="AB13" i="6"/>
  <c r="AB276" i="6"/>
  <c r="AB333" i="6"/>
  <c r="AB60" i="6"/>
  <c r="AB322" i="6"/>
  <c r="AB345" i="6"/>
  <c r="AB75" i="6"/>
  <c r="AB99" i="6"/>
  <c r="AB188" i="6"/>
  <c r="AB154" i="6"/>
  <c r="AB242" i="6"/>
  <c r="AB378" i="6"/>
  <c r="AB148" i="6"/>
  <c r="AB211" i="6"/>
  <c r="AB243" i="6"/>
  <c r="AB33" i="6"/>
  <c r="AB220" i="6"/>
  <c r="AB44" i="6"/>
  <c r="AB219" i="6"/>
  <c r="AB152" i="6"/>
  <c r="AB307" i="6"/>
  <c r="AB424" i="6"/>
  <c r="AB199" i="6"/>
  <c r="AB11" i="6"/>
  <c r="AB245" i="6"/>
  <c r="AB452" i="6"/>
  <c r="AB329" i="6"/>
  <c r="AB74" i="6"/>
  <c r="AB393" i="6"/>
  <c r="AB76" i="6"/>
  <c r="AB59" i="6"/>
  <c r="AB409" i="6"/>
  <c r="AB349" i="6"/>
  <c r="AB196" i="6"/>
  <c r="AB58" i="6"/>
  <c r="AB49" i="6"/>
  <c r="AB311" i="6"/>
  <c r="AB382" i="6"/>
  <c r="AB28" i="6"/>
  <c r="AB203" i="6"/>
  <c r="AB202" i="6"/>
  <c r="AB291" i="6"/>
  <c r="AB357" i="6"/>
  <c r="AB85" i="6"/>
  <c r="AB444" i="6"/>
  <c r="AB229" i="6"/>
  <c r="AB394" i="6"/>
  <c r="AB78" i="6"/>
  <c r="AB439" i="6"/>
  <c r="AB465" i="6"/>
  <c r="AB227" i="6"/>
  <c r="AB9" i="6"/>
  <c r="AB106" i="6"/>
  <c r="AB54" i="6"/>
  <c r="AB459" i="6"/>
  <c r="AB186" i="6"/>
  <c r="AB447" i="6"/>
  <c r="AB462" i="6"/>
  <c r="AB253" i="6"/>
  <c r="AB366" i="6"/>
  <c r="AB294" i="6"/>
  <c r="AB105" i="6"/>
  <c r="AB156" i="6"/>
  <c r="AB286" i="6"/>
  <c r="AB66" i="6"/>
  <c r="AB42" i="6"/>
  <c r="AB432" i="6"/>
  <c r="AB185" i="6"/>
  <c r="AB53" i="6"/>
  <c r="AB213" i="6"/>
  <c r="AB62" i="6"/>
  <c r="AB126" i="6"/>
  <c r="AB101" i="6"/>
  <c r="AB400" i="6"/>
  <c r="AB164" i="6"/>
  <c r="AB159" i="6"/>
  <c r="AB259" i="6"/>
  <c r="AB149" i="6"/>
  <c r="AB21" i="6"/>
  <c r="AB197" i="6"/>
  <c r="AB436" i="6"/>
  <c r="AB46" i="6"/>
  <c r="AB251" i="6"/>
  <c r="AB260" i="6"/>
  <c r="AB12" i="6"/>
  <c r="AB468" i="6"/>
  <c r="AB157" i="6"/>
  <c r="AB212" i="6"/>
  <c r="AB368" i="6"/>
  <c r="AB205" i="6"/>
  <c r="AB43" i="6"/>
  <c r="AB413" i="6"/>
  <c r="AB343" i="6"/>
  <c r="AB360" i="6"/>
  <c r="AB89" i="6"/>
  <c r="AB88" i="6"/>
  <c r="AB144" i="6"/>
  <c r="AB337" i="6"/>
  <c r="AB10" i="6"/>
  <c r="AB246" i="6"/>
  <c r="AB119" i="6"/>
  <c r="AB403" i="6"/>
  <c r="AB30" i="6"/>
  <c r="AB338" i="6"/>
  <c r="AB235" i="6"/>
  <c r="AB81" i="6"/>
  <c r="AB275" i="6"/>
  <c r="AB145" i="6"/>
  <c r="AB406" i="6"/>
  <c r="AB18" i="6"/>
  <c r="AB195" i="6"/>
  <c r="AB402" i="6"/>
  <c r="AB404" i="6"/>
  <c r="AB27" i="6"/>
  <c r="AB327" i="6"/>
  <c r="AB434" i="6"/>
  <c r="AB356" i="6"/>
  <c r="AB72" i="6"/>
  <c r="AB161" i="6"/>
  <c r="AB258" i="6"/>
  <c r="AB421" i="6"/>
  <c r="AB230" i="6"/>
  <c r="AB83" i="6"/>
  <c r="AB346" i="6"/>
  <c r="AB14" i="6"/>
  <c r="AB285" i="6"/>
  <c r="AB187" i="6"/>
  <c r="AB430" i="6"/>
  <c r="AB365" i="6"/>
  <c r="AB102" i="6"/>
  <c r="AB422" i="6"/>
  <c r="AB330" i="6"/>
  <c r="AB65" i="6"/>
  <c r="AB437" i="6"/>
  <c r="AB312" i="6"/>
  <c r="AB369" i="6"/>
  <c r="AB56" i="6"/>
  <c r="AB136" i="6"/>
  <c r="AB214" i="6"/>
  <c r="AB355" i="6"/>
  <c r="AB383" i="6"/>
  <c r="AB279" i="6"/>
  <c r="AB407" i="6"/>
  <c r="AB379" i="6"/>
  <c r="AB440" i="6"/>
  <c r="AB296" i="6"/>
  <c r="AB451" i="6"/>
  <c r="AB450" i="6"/>
  <c r="AB40" i="6"/>
  <c r="AB249" i="6"/>
  <c r="AB158" i="6"/>
  <c r="AB336" i="6"/>
  <c r="AB198" i="6"/>
  <c r="AB438" i="6"/>
  <c r="AB315" i="6"/>
  <c r="AB388" i="6"/>
  <c r="AB314" i="6"/>
  <c r="AB328" i="6"/>
  <c r="AB458" i="6"/>
  <c r="AB36" i="6"/>
  <c r="AB19" i="6"/>
  <c r="AB226" i="6"/>
  <c r="AB241" i="6"/>
  <c r="AB298" i="6"/>
  <c r="AB313" i="6"/>
  <c r="AB461" i="6"/>
  <c r="AB289" i="6"/>
  <c r="AB335" i="6"/>
  <c r="AB20" i="6"/>
  <c r="AB395" i="6"/>
  <c r="AB210" i="6"/>
  <c r="AB225" i="6"/>
  <c r="AB282" i="6"/>
  <c r="AB297" i="6"/>
  <c r="AB38" i="6"/>
  <c r="AB318" i="6"/>
  <c r="AB194" i="6"/>
  <c r="AB266" i="6"/>
  <c r="AB281" i="6"/>
  <c r="AB454" i="6"/>
  <c r="AB179" i="6"/>
  <c r="AB115" i="6"/>
  <c r="AB133" i="6"/>
  <c r="AB90" i="6"/>
  <c r="AB254" i="6"/>
  <c r="AB117" i="6"/>
  <c r="AB73" i="6"/>
  <c r="AB169" i="6"/>
  <c r="AB428" i="6"/>
  <c r="AB201" i="6"/>
  <c r="AB321" i="6"/>
  <c r="AB22" i="6"/>
  <c r="AB128" i="6"/>
  <c r="AB304" i="6"/>
  <c r="AB350" i="6"/>
  <c r="AB389" i="6"/>
  <c r="AB177" i="6"/>
  <c r="AB193" i="6"/>
  <c r="AB130" i="6"/>
  <c r="AB265" i="6"/>
  <c r="AB209" i="6"/>
  <c r="AB278" i="6"/>
  <c r="AB442" i="6"/>
  <c r="AB228" i="6"/>
  <c r="AB26" i="6"/>
  <c r="AB340" i="6"/>
  <c r="AB57" i="6"/>
  <c r="AB250" i="6"/>
  <c r="AB361" i="6"/>
  <c r="AB184" i="6"/>
  <c r="AB306" i="6"/>
  <c r="AB351" i="6"/>
  <c r="AB150" i="6"/>
  <c r="AB288" i="6"/>
  <c r="AB287" i="6"/>
  <c r="AB455" i="6"/>
  <c r="AB176" i="6"/>
  <c r="AB192" i="6"/>
  <c r="AB122" i="6"/>
  <c r="AA5" i="6"/>
  <c r="AB341" i="6"/>
  <c r="AB399" i="6"/>
  <c r="AB332" i="6"/>
  <c r="AB50" i="6"/>
  <c r="AB295" i="6"/>
  <c r="AB238" i="6"/>
  <c r="AB137" i="6"/>
  <c r="AB269" i="6"/>
  <c r="AB262" i="6"/>
  <c r="AB375" i="6"/>
  <c r="AB114" i="6"/>
  <c r="AB123" i="6"/>
  <c r="AB371" i="6"/>
  <c r="AB222" i="6"/>
  <c r="AB324" i="6"/>
  <c r="AB25" i="6"/>
  <c r="AB234" i="6"/>
  <c r="AB449" i="6"/>
  <c r="AB151" i="6"/>
  <c r="AB290" i="6"/>
  <c r="AB273" i="6"/>
  <c r="AB247" i="6"/>
  <c r="AB272" i="6"/>
  <c r="AB271" i="6"/>
  <c r="AB398" i="6"/>
  <c r="AB80" i="6"/>
  <c r="AB175" i="6"/>
  <c r="AB139" i="6"/>
  <c r="AB257" i="6"/>
  <c r="AB370" i="6"/>
  <c r="AB204" i="6"/>
  <c r="AB140" i="6"/>
  <c r="AB252" i="6"/>
  <c r="AB463" i="6"/>
  <c r="AB34" i="6"/>
  <c r="AB221" i="6"/>
  <c r="AB443" i="6"/>
  <c r="AB206" i="6"/>
  <c r="AB293" i="6"/>
  <c r="AB362" i="6"/>
  <c r="AB218" i="6"/>
  <c r="AB425" i="6"/>
  <c r="AB87" i="6"/>
  <c r="AB274" i="6"/>
  <c r="AB171" i="6"/>
  <c r="AB231" i="6"/>
  <c r="AB256" i="6"/>
  <c r="AB255" i="6"/>
  <c r="AB464" i="6"/>
  <c r="AB385" i="6"/>
  <c r="AB79" i="6"/>
  <c r="AB95" i="6"/>
  <c r="AB448" i="6"/>
  <c r="AB372" i="6"/>
  <c r="AB373" i="6"/>
  <c r="AB374" i="6"/>
  <c r="AB180" i="6"/>
  <c r="AB331" i="6"/>
  <c r="AB64" i="6"/>
  <c r="AB283" i="6"/>
  <c r="AB15" i="6"/>
  <c r="AB147" i="6"/>
  <c r="AB377" i="6"/>
  <c r="AB239" i="6"/>
  <c r="AB93" i="6"/>
  <c r="AB48" i="6"/>
  <c r="AB267" i="6"/>
  <c r="AB387" i="6"/>
  <c r="AB170" i="6"/>
  <c r="AB446" i="6"/>
  <c r="AB223" i="6"/>
  <c r="AB92" i="6"/>
  <c r="AB32" i="6"/>
  <c r="AB138" i="6"/>
  <c r="AB392" i="6"/>
  <c r="AB116" i="6"/>
  <c r="AB386" i="6"/>
  <c r="AB207" i="6"/>
  <c r="AB91" i="6"/>
  <c r="AB69" i="6"/>
  <c r="AB120" i="6"/>
  <c r="AB334" i="6"/>
  <c r="AB67" i="6"/>
  <c r="AB284" i="6"/>
  <c r="AB16" i="6"/>
  <c r="AB155" i="6"/>
  <c r="AB381" i="6"/>
  <c r="AB240" i="6"/>
  <c r="AB457" i="6"/>
  <c r="AB191" i="6"/>
  <c r="AB37" i="6"/>
  <c r="AB317" i="6"/>
  <c r="AB51" i="6"/>
  <c r="AB268" i="6"/>
  <c r="AB391" i="6"/>
  <c r="AB224" i="6"/>
  <c r="AB433" i="6"/>
  <c r="AB174" i="6"/>
  <c r="AB183" i="6"/>
  <c r="AB353" i="6"/>
  <c r="AB142" i="6"/>
  <c r="AB111" i="6"/>
  <c r="AB82" i="6"/>
  <c r="AB270" i="6"/>
  <c r="AB453" i="6"/>
  <c r="AB325" i="6"/>
  <c r="AB178" i="6"/>
  <c r="AB414" i="6"/>
  <c r="AB172" i="6"/>
  <c r="AB456" i="6"/>
  <c r="AB190" i="6"/>
  <c r="AB309" i="6"/>
  <c r="AB41" i="6"/>
  <c r="AB121" i="6"/>
  <c r="AB352" i="6"/>
  <c r="AB233" i="6"/>
  <c r="AB423" i="6"/>
  <c r="AB143" i="6"/>
  <c r="AB445" i="6"/>
  <c r="AB405" i="6"/>
  <c r="AB163" i="6"/>
  <c r="AB303" i="6"/>
  <c r="AB35" i="6"/>
  <c r="AB146" i="6"/>
  <c r="AB8" i="6"/>
  <c r="AB124" i="6"/>
  <c r="AB390" i="6"/>
  <c r="AB208" i="6"/>
  <c r="AB376" i="6"/>
  <c r="AB94" i="6"/>
  <c r="AB5" i="6" l="1"/>
</calcChain>
</file>

<file path=xl/sharedStrings.xml><?xml version="1.0" encoding="utf-8"?>
<sst xmlns="http://schemas.openxmlformats.org/spreadsheetml/2006/main" count="4551" uniqueCount="2004">
  <si>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</si>
  <si>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</si>
  <si>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</si>
  <si>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</si>
  <si>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</si>
  <si>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</si>
  <si>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</si>
  <si>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</si>
  <si>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</si>
  <si>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</si>
  <si>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</si>
  <si>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</si>
  <si>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</si>
  <si>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</si>
  <si>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</si>
  <si>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</si>
  <si>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</si>
  <si>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</si>
  <si>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</si>
  <si>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</si>
  <si>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</si>
  <si>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</si>
  <si>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</si>
  <si>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</si>
  <si>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</si>
  <si>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</si>
  <si>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</si>
  <si>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</si>
  <si>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</si>
  <si>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</si>
  <si>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</si>
  <si>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</si>
  <si>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</si>
  <si>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</si>
  <si>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</si>
  <si>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</si>
  <si>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</si>
  <si>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</si>
  <si>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</si>
  <si>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</si>
  <si>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</si>
  <si>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</si>
  <si>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</si>
  <si>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</si>
  <si>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</si>
  <si>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</si>
  <si>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</si>
  <si>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</si>
  <si>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</si>
  <si>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</si>
  <si>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</si>
  <si>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</si>
  <si>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</si>
  <si>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</si>
  <si>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</si>
  <si>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</si>
  <si>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</si>
  <si>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</si>
  <si>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</si>
  <si>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</si>
  <si>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</si>
  <si>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</si>
  <si>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</si>
  <si>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</si>
  <si>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</si>
  <si>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</si>
  <si>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</si>
  <si>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</si>
  <si>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</si>
  <si>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</si>
  <si>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</si>
  <si>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</si>
  <si>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</si>
  <si>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</si>
  <si>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</si>
  <si>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</si>
  <si>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</si>
  <si>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</si>
  <si>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</si>
  <si>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</si>
  <si>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</si>
  <si>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</si>
  <si>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</si>
  <si>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</si>
  <si>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</si>
  <si>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</si>
  <si>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</si>
  <si>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</si>
  <si>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</si>
  <si>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</si>
  <si>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</si>
  <si>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</si>
  <si>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</si>
  <si>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</si>
  <si>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</si>
  <si>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</si>
  <si>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</si>
  <si>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</si>
  <si>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</si>
  <si>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</si>
  <si>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</si>
  <si>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</si>
  <si>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</si>
  <si>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</si>
  <si>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</si>
  <si>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</si>
  <si>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</si>
  <si>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</si>
  <si>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</si>
  <si>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</si>
  <si>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</si>
  <si>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</si>
  <si>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</si>
  <si>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</si>
  <si>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</si>
  <si>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</si>
  <si>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</si>
  <si>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</si>
  <si>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</si>
  <si>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</si>
  <si>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</si>
  <si>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</si>
  <si>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</si>
  <si>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</si>
  <si>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</si>
  <si>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</si>
  <si>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</si>
  <si>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</si>
  <si>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</si>
  <si>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</si>
  <si>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</si>
  <si>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</si>
  <si>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</si>
  <si>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</si>
  <si>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</si>
  <si>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</si>
  <si>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</si>
  <si>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</si>
  <si>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</si>
  <si>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</si>
  <si>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</si>
  <si>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</si>
  <si>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</si>
  <si>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</si>
  <si>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</si>
  <si>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</si>
  <si>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</si>
  <si>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Acciuga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</si>
  <si>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</si>
  <si>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</si>
  <si>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</si>
  <si>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</si>
  <si>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</si>
  <si>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</si>
  <si>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</si>
  <si>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</si>
  <si>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</si>
  <si>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</si>
  <si>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</si>
  <si>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</si>
  <si>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</si>
  <si>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</si>
  <si>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</si>
  <si>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</si>
  <si>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</si>
  <si>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</si>
  <si>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</si>
  <si>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</si>
  <si>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</si>
  <si>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</si>
  <si>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</si>
  <si>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</si>
  <si>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</si>
  <si>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</si>
  <si>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</si>
  <si>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</si>
  <si>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</si>
  <si>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</si>
  <si>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</si>
  <si>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</si>
  <si>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</si>
  <si>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</si>
  <si>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</si>
  <si>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</si>
  <si>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</si>
  <si>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</si>
  <si>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</si>
  <si>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</si>
  <si>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</si>
  <si>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</si>
  <si>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</si>
  <si>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</si>
  <si>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</si>
  <si>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</si>
  <si>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</si>
  <si>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</si>
  <si>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</si>
  <si>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</si>
  <si>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</si>
  <si>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</si>
  <si>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</si>
  <si>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</si>
  <si>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</si>
  <si>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</si>
  <si>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</si>
  <si>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</si>
  <si>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</si>
  <si>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</si>
  <si>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</si>
  <si>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</si>
  <si>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</si>
  <si>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</si>
  <si>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</si>
  <si>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</si>
  <si>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</si>
  <si>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</si>
  <si>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</si>
  <si>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</si>
  <si>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</si>
  <si>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</si>
  <si>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</si>
  <si>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</si>
  <si>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</si>
  <si>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</si>
  <si>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</si>
  <si>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</si>
  <si>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</si>
  <si>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</si>
  <si>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</si>
  <si>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</si>
  <si>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</si>
  <si>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</si>
  <si>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</si>
  <si>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</si>
  <si>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</si>
  <si>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</si>
  <si>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</si>
  <si>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</si>
  <si>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</si>
  <si>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</si>
  <si>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</si>
  <si>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</si>
  <si>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</si>
  <si>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</si>
  <si>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</si>
  <si>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</si>
  <si>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</si>
  <si>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</si>
  <si>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</si>
  <si>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</si>
  <si>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</si>
  <si>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</si>
  <si>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</si>
  <si>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</si>
  <si>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</si>
  <si>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</si>
  <si>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</si>
  <si>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</si>
  <si>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</si>
  <si>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</si>
  <si>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</si>
  <si>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</si>
  <si>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</si>
  <si>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</si>
  <si>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</si>
  <si>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</si>
  <si>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</si>
  <si>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</si>
  <si>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</si>
  <si>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</si>
  <si>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</si>
  <si>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</si>
  <si>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</si>
  <si>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</si>
  <si>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</si>
  <si>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</si>
  <si>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</si>
  <si>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</si>
  <si>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</si>
  <si>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</si>
  <si>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</si>
  <si>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</si>
  <si>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</si>
  <si>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</si>
  <si>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</si>
  <si>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</si>
  <si>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</si>
  <si>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</si>
  <si>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</si>
  <si>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</si>
  <si>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</si>
  <si>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</si>
  <si>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</si>
  <si>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</si>
  <si>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</si>
  <si>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</si>
  <si>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</si>
  <si>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</si>
  <si>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</si>
  <si>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</si>
  <si>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</si>
  <si>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</si>
  <si>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</si>
  <si>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</si>
  <si>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</si>
  <si>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</si>
  <si>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</si>
  <si>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</si>
  <si>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</si>
  <si>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</si>
  <si>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</si>
  <si>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</si>
  <si>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</si>
  <si>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</si>
  <si>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</si>
  <si>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</si>
  <si>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</si>
  <si>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</si>
  <si>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</si>
  <si>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</si>
  <si>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</si>
  <si>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</si>
  <si>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</si>
  <si>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</si>
  <si>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</si>
  <si>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</si>
  <si>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</si>
  <si>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</si>
  <si>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</si>
  <si>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</si>
  <si>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</si>
  <si>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</si>
  <si>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</si>
  <si>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</si>
  <si>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</si>
  <si>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</si>
  <si>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</si>
  <si>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</si>
  <si>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</si>
  <si>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</si>
  <si>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</si>
  <si>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</si>
  <si>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</si>
  <si>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</si>
  <si>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</si>
  <si>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</si>
  <si>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</si>
  <si>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</si>
  <si>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</si>
  <si>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</si>
  <si>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</si>
  <si>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</si>
  <si>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</si>
  <si>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</si>
  <si>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</si>
  <si>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</si>
  <si>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</si>
  <si>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</si>
  <si>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</si>
  <si>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</si>
  <si>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</si>
  <si>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</si>
  <si>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</si>
  <si>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</si>
  <si>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</si>
  <si>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</si>
  <si>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</si>
  <si>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</si>
  <si>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</si>
  <si>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</si>
  <si>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</si>
  <si>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</si>
  <si>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</si>
  <si>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</si>
  <si>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</si>
  <si>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</si>
  <si>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</si>
  <si>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</si>
  <si>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</si>
  <si>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</si>
  <si>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</si>
  <si>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</si>
  <si>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</si>
  <si>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</si>
  <si>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</si>
  <si>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</si>
  <si>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</si>
  <si>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</si>
  <si>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</si>
  <si>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</si>
  <si>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</si>
  <si>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</si>
  <si>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</si>
  <si>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</si>
  <si>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</si>
  <si>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</si>
  <si>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</si>
  <si>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</si>
  <si>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</si>
  <si>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</si>
  <si>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</si>
  <si>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</si>
  <si>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</si>
  <si>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</si>
  <si>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</si>
  <si>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</si>
  <si>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</si>
  <si>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</si>
  <si>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</si>
  <si>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</si>
  <si>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</si>
  <si>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</si>
  <si>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</si>
  <si>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</si>
  <si>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</si>
  <si>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</si>
  <si>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</si>
  <si>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</si>
  <si>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</si>
  <si>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</si>
  <si>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</si>
  <si>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</si>
  <si>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</si>
  <si>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</si>
  <si>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</si>
  <si>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</si>
  <si>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</si>
  <si>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</si>
  <si>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</si>
  <si>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</si>
  <si>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</si>
  <si>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</si>
  <si>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</si>
  <si>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</si>
  <si>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</si>
  <si>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</si>
  <si>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</si>
  <si>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</si>
  <si>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</si>
  <si>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</si>
  <si>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</si>
  <si>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</si>
  <si>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</si>
  <si>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</si>
  <si>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</si>
  <si>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</si>
  <si>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</si>
  <si>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</si>
  <si>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</si>
  <si>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</si>
  <si>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</si>
  <si>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</si>
  <si>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</si>
  <si>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</si>
  <si>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</si>
  <si>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</si>
  <si>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</si>
  <si>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</si>
  <si>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</si>
  <si>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</si>
  <si>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</si>
  <si>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</si>
  <si>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</si>
  <si>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</si>
  <si>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</si>
  <si>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</si>
  <si>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</si>
  <si>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</si>
  <si>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</si>
  <si>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</si>
  <si>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</si>
  <si>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</si>
  <si>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</si>
  <si>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</si>
  <si>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</si>
  <si>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</si>
  <si>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</si>
  <si>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</si>
  <si>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</si>
  <si>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</si>
  <si>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</si>
  <si>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</si>
  <si>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</si>
  <si>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</si>
  <si>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</si>
  <si>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</si>
  <si>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</si>
  <si>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</si>
  <si>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</si>
  <si>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</si>
  <si>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</si>
  <si>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</si>
  <si>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</si>
  <si>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</si>
  <si>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</si>
  <si>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06/3723395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</si>
  <si>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</si>
  <si>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</si>
  <si>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</si>
  <si>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</si>
  <si>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</si>
  <si>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</si>
  <si>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</si>
  <si>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</si>
  <si>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</si>
  <si>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</si>
  <si>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</si>
  <si>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</si>
  <si>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</si>
  <si>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</si>
  <si>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</si>
  <si>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</si>
  <si>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</si>
  <si>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</si>
  <si>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</si>
  <si>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</si>
  <si>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</si>
  <si>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</si>
  <si>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</si>
  <si>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</si>
  <si>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</si>
  <si>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</si>
  <si>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</si>
  <si>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</si>
  <si>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</si>
  <si>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</si>
  <si>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</si>
  <si>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</si>
  <si>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</si>
  <si>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</si>
  <si>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</si>
  <si>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</si>
  <si>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</si>
  <si>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</si>
  <si>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</si>
  <si>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</si>
  <si>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</si>
  <si>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</si>
  <si>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</si>
  <si>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</si>
  <si>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</si>
  <si>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</si>
  <si>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</si>
  <si>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</si>
  <si>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</si>
  <si>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</si>
  <si>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</si>
  <si>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</si>
  <si>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</si>
  <si>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</si>
  <si>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</si>
  <si>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</si>
  <si>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</si>
  <si>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</si>
  <si>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</si>
  <si>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</si>
  <si>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</si>
  <si>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</si>
  <si>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</si>
  <si>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</si>
  <si>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</si>
  <si>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</si>
  <si>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</si>
  <si>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</si>
  <si>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</si>
  <si>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</si>
  <si>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</si>
  <si>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</si>
  <si>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</si>
  <si>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</si>
  <si>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</si>
  <si>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</si>
  <si>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</si>
  <si>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</si>
  <si>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</si>
  <si>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</si>
  <si>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</si>
  <si>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</si>
  <si>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</si>
  <si>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</si>
  <si>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</si>
  <si>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</si>
  <si>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</si>
  <si>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</si>
  <si>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</si>
  <si>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</si>
  <si>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</si>
  <si>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</si>
  <si>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</si>
  <si>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</si>
  <si>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</si>
  <si>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</si>
  <si>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</si>
  <si>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</si>
  <si>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</si>
  <si>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</si>
  <si>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</si>
  <si>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</si>
  <si>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</si>
  <si>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</si>
  <si>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</si>
  <si>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</si>
  <si>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</si>
  <si>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</si>
  <si>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</si>
  <si>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</si>
  <si>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</si>
  <si>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</si>
  <si>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</si>
  <si>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</si>
  <si>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</si>
  <si>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</si>
  <si>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</si>
  <si>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</si>
  <si>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</si>
  <si>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</si>
  <si>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</si>
  <si>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</si>
  <si>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</si>
  <si>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</si>
  <si>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</si>
  <si>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</si>
  <si>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</si>
  <si>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</si>
  <si>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</si>
  <si>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</si>
  <si>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</si>
  <si>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</si>
  <si>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</si>
  <si>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</si>
  <si>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</si>
  <si>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</si>
  <si>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</si>
  <si>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</si>
  <si>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</si>
  <si>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</si>
  <si>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</si>
  <si>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</si>
  <si>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</si>
  <si>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</si>
  <si>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</si>
  <si>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</si>
  <si>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</si>
  <si>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</si>
  <si>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</si>
  <si>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</si>
  <si>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</si>
  <si>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</si>
  <si>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</si>
  <si>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</si>
  <si>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</si>
  <si>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</si>
  <si>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</si>
  <si>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</si>
  <si>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</si>
  <si>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</si>
  <si>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</si>
  <si>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 Vodice, 25/A-B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</si>
  <si>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</si>
  <si>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</si>
  <si>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</si>
  <si>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</si>
  <si>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</si>
  <si>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</si>
  <si>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</si>
  <si>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</si>
  <si>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</si>
  <si>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</si>
  <si>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</si>
  <si>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</si>
  <si>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</si>
  <si>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</si>
  <si>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</si>
  <si>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</si>
  <si>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</si>
  <si>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</si>
  <si>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</si>
  <si>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</si>
  <si>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</si>
  <si>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</si>
  <si>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</si>
  <si>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</si>
  <si>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</si>
  <si>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</si>
  <si>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</si>
  <si>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</si>
  <si>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</si>
  <si>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</si>
  <si>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</si>
  <si>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</si>
  <si>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</si>
  <si>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</si>
  <si>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menù Acciuga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</si>
  <si>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</si>
  <si>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</si>
  <si>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</si>
  <si>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</si>
  <si>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</si>
  <si>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</si>
  <si>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</si>
  <si>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</si>
  <si>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</si>
  <si>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</si>
  <si>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</si>
  <si>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</si>
  <si>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</si>
  <si>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</si>
  <si>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</si>
  <si>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</si>
  <si>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</si>
  <si>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</si>
  <si>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</si>
  <si>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</si>
  <si>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</si>
  <si>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</si>
  <si>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</si>
  <si>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</si>
  <si>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</si>
  <si>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</si>
  <si>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</si>
  <si>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</si>
  <si>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</si>
  <si>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</si>
  <si>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</si>
  <si>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</si>
  <si>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</si>
  <si>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</si>
  <si>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</si>
  <si>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</si>
  <si>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</si>
  <si>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</si>
  <si>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</si>
  <si>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</si>
  <si>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</si>
  <si>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</si>
  <si>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</si>
  <si>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</si>
  <si>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</si>
  <si>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</si>
  <si>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</si>
  <si>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</si>
  <si>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</si>
  <si>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</si>
  <si>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</si>
  <si>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</si>
  <si>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</si>
  <si>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</si>
  <si>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</si>
  <si>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</si>
  <si>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</si>
  <si>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</si>
  <si>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</si>
  <si>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</si>
  <si>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</si>
  <si>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</si>
  <si>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</si>
  <si>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</si>
  <si>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</si>
  <si>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</si>
  <si>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</si>
  <si>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</si>
  <si>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</si>
  <si>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</si>
  <si>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</si>
  <si>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</si>
  <si>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</si>
  <si>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</si>
  <si>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</si>
  <si>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</si>
  <si>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</si>
  <si>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</si>
  <si>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</si>
  <si>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</si>
  <si>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</si>
  <si>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</si>
  <si>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</si>
  <si>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</si>
  <si>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</si>
  <si>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</si>
  <si>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</si>
  <si>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</si>
  <si>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</si>
  <si>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</si>
  <si>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</si>
  <si>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</si>
  <si>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</si>
  <si>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</si>
  <si>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</si>
  <si>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</si>
  <si>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</si>
  <si>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</si>
  <si>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</si>
  <si>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</si>
  <si>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</si>
  <si>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</si>
  <si>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</si>
  <si>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</si>
  <si>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</si>
  <si>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</si>
  <si>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</si>
  <si>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</si>
  <si>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</si>
  <si>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</si>
  <si>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</si>
  <si>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</si>
  <si>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</si>
  <si>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</si>
  <si>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</si>
  <si>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</si>
  <si>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</si>
  <si>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</si>
  <si>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</si>
  <si>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</si>
  <si>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</si>
  <si>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</si>
  <si>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</si>
  <si>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</si>
  <si>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</si>
  <si>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</si>
  <si>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</si>
  <si>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</si>
  <si>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</si>
  <si>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</si>
  <si>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</si>
  <si>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</si>
  <si>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</si>
  <si>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</si>
  <si>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</si>
  <si>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</si>
  <si>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</si>
  <si>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</si>
  <si>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</si>
  <si>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</si>
  <si>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</si>
  <si>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</si>
  <si>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</si>
  <si>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</si>
  <si>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</si>
  <si>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</si>
  <si>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</si>
  <si>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</si>
  <si>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</si>
  <si>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</si>
  <si>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</si>
  <si>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</si>
  <si>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</si>
  <si>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</si>
  <si>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</si>
  <si>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</si>
  <si>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</si>
  <si>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</si>
  <si>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</si>
  <si>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</si>
  <si>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</si>
  <si>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</si>
  <si>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</si>
  <si>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</si>
  <si>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</si>
  <si>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</si>
  <si>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</si>
  <si>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</si>
  <si>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</si>
  <si>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</si>
  <si>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</si>
  <si>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</si>
  <si>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</si>
  <si>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</si>
  <si>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</si>
  <si>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</si>
  <si>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</si>
  <si>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</si>
  <si>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</si>
  <si>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</si>
  <si>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</si>
  <si>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</si>
  <si>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</si>
  <si>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</si>
  <si>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</si>
  <si>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</si>
  <si>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</si>
  <si>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</si>
  <si>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</si>
  <si>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</si>
  <si>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</si>
  <si>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</si>
  <si>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</si>
  <si>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</si>
  <si>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</si>
  <si>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</si>
  <si>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</si>
  <si>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</si>
  <si>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</si>
  <si>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</si>
  <si>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</si>
  <si>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</si>
  <si>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</si>
  <si>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</si>
  <si>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</si>
  <si>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</si>
  <si>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</si>
  <si>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</si>
  <si>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</si>
  <si>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</si>
  <si>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</si>
  <si>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</si>
  <si>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</si>
  <si>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</si>
  <si>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</si>
  <si>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</si>
  <si>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</si>
  <si>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</si>
  <si>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</si>
  <si>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</si>
  <si>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</si>
  <si>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</si>
  <si>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</si>
  <si>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</si>
  <si>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</si>
  <si>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</si>
  <si>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</si>
  <si>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</si>
  <si>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</si>
  <si>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</si>
  <si>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</si>
  <si>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</si>
  <si>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</si>
  <si>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</si>
  <si>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</si>
  <si>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</si>
  <si>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</si>
  <si>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</si>
  <si>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</si>
  <si>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</si>
  <si>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</si>
  <si>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</si>
  <si>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</si>
  <si>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</si>
  <si>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</si>
  <si>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</si>
  <si>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</si>
  <si>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</si>
  <si>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</si>
  <si>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</si>
  <si>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</si>
  <si>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</si>
  <si>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</si>
  <si>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</si>
  <si>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</si>
  <si>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</si>
  <si>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</si>
  <si>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</si>
  <si>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</si>
  <si>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</si>
  <si>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</si>
  <si>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</si>
  <si>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</si>
  <si>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</si>
  <si>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</si>
  <si>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</si>
  <si>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</si>
  <si>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</si>
  <si>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</si>
  <si>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</si>
  <si>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</si>
  <si>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</si>
  <si>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</si>
  <si>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</si>
  <si>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</si>
  <si>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</si>
  <si>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</si>
  <si>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</si>
  <si>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</si>
  <si>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</si>
  <si>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</si>
  <si>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</si>
  <si>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</si>
  <si>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</si>
  <si>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</si>
  <si>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</si>
  <si>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</si>
  <si>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</si>
  <si>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</si>
  <si>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</si>
  <si>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</si>
  <si>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</si>
  <si>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</si>
  <si>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</si>
  <si>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</si>
  <si>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</si>
  <si>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</si>
  <si>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</si>
  <si>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</si>
  <si>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</si>
  <si>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</si>
  <si>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</si>
  <si>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</si>
  <si>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</si>
  <si>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</si>
  <si>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</si>
  <si>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</si>
  <si>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</si>
  <si>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</si>
  <si>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</si>
  <si>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</si>
  <si>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</si>
  <si>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</si>
  <si>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</si>
  <si>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</si>
  <si>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</si>
  <si>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</si>
  <si>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</si>
  <si>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</si>
  <si>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</si>
  <si>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</si>
  <si>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</si>
  <si>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</si>
  <si>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</si>
  <si>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</si>
  <si>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</si>
  <si>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</si>
  <si>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</si>
  <si>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</si>
  <si>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</si>
  <si>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</si>
  <si>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</si>
  <si>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</si>
  <si>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</si>
  <si>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</si>
  <si>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</si>
  <si>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</si>
  <si>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</si>
  <si>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</si>
  <si>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</si>
  <si>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</si>
  <si>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</si>
  <si>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</si>
  <si>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</si>
  <si>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</si>
  <si>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</si>
  <si>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</si>
  <si>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</si>
  <si>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</si>
  <si>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</si>
  <si>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</si>
  <si>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</si>
  <si>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</si>
  <si>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</si>
  <si>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</si>
  <si>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</si>
  <si>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</si>
  <si>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</si>
  <si>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</si>
  <si>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</si>
  <si>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</si>
  <si>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</si>
  <si>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</si>
  <si>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</si>
  <si>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</si>
  <si>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</si>
  <si>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</si>
  <si>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</si>
  <si>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</si>
  <si>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</si>
  <si>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</si>
  <si>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</si>
  <si>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</si>
  <si>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</si>
  <si>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</si>
  <si>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</si>
  <si>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</si>
  <si>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</si>
  <si>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</si>
  <si>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</si>
  <si>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</si>
  <si>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</si>
  <si>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</si>
  <si>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</si>
  <si>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</si>
  <si>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</si>
  <si>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</si>
  <si>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</si>
  <si>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</si>
  <si>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</si>
  <si>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</si>
  <si>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</si>
  <si>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</si>
  <si>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</si>
  <si>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</si>
  <si>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</si>
  <si>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</si>
  <si>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</si>
  <si>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</si>
  <si>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</si>
  <si>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</si>
  <si>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</si>
  <si>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</si>
  <si>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</si>
  <si>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</si>
  <si>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</si>
  <si>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</si>
  <si>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</si>
  <si>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</si>
  <si>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</si>
  <si>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</si>
  <si>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</si>
  <si>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</si>
  <si>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</si>
  <si>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</si>
  <si>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</si>
  <si>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</si>
  <si>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</si>
  <si>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</si>
  <si>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</si>
  <si>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</si>
  <si>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</si>
  <si>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</si>
  <si>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</si>
  <si>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</si>
  <si>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</si>
  <si>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</si>
  <si>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</si>
  <si>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</si>
  <si>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</si>
  <si>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</si>
  <si>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</si>
  <si>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</si>
  <si>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</si>
  <si>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</si>
  <si>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</si>
  <si>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</si>
  <si>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</si>
  <si>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</si>
  <si>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</si>
  <si>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</si>
  <si>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</si>
  <si>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</si>
  <si>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</si>
  <si>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</si>
  <si>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</si>
  <si>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</si>
  <si>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</si>
  <si>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</si>
  <si>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</si>
  <si>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</si>
  <si>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</si>
  <si>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Metà - sorsi e assaggi</t>
  </si>
  <si>
    <t>Viale Gottardo, 18/20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</si>
  <si>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</si>
  <si>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</si>
  <si>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</si>
  <si>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</si>
  <si>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</si>
  <si>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</si>
  <si>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</si>
  <si>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</si>
  <si>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</si>
  <si>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</si>
  <si>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</si>
  <si>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</si>
  <si>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</si>
  <si>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</si>
  <si>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</si>
  <si>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</si>
  <si>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</si>
  <si>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</si>
  <si>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</si>
  <si>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</si>
  <si>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</si>
  <si>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</si>
  <si>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</si>
  <si>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</si>
  <si>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</si>
  <si>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</si>
  <si>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320/9563284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</si>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</sst>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2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77"/>
  <sheetViews>
    <sheetView tabSelected="1" zoomScaleNormal="100" workbookViewId="0">
      <pane ySplit="7" topLeftCell="A8" activePane="bottomLeft" state="frozen"/>
      <selection pane="bottomLeft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36" width="9.140625" style="1"/>
    <col min="37" max="16384" width="9.140625" style="2"/>
  </cols>
  <sheetData>
    <row r="1" spans="1:36" ht="14.25" customHeight="1" x14ac:dyDescent="0.2">
      <c r="D1" s="1"/>
      <c r="F1" s="1"/>
    </row>
    <row r="2" spans="1:36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6" ht="27" customHeight="1" x14ac:dyDescent="0.2">
      <c r="D3" s="1" t="s">
        <v>2</v>
      </c>
      <c r="E3" s="5">
        <f>+AH6</f>
        <v>110</v>
      </c>
      <c r="F3" s="5">
        <f>+AD6</f>
        <v>72</v>
      </c>
      <c r="G3" s="5">
        <f>+AF6</f>
        <v>72</v>
      </c>
      <c r="H3" s="5">
        <f>+E3-G3</f>
        <v>38</v>
      </c>
      <c r="I3" s="13" t="s">
        <v>9</v>
      </c>
      <c r="J3" s="4"/>
      <c r="K3" s="4"/>
    </row>
    <row r="4" spans="1:36" ht="27" customHeight="1" x14ac:dyDescent="0.25">
      <c r="D4" s="6" t="s">
        <v>3</v>
      </c>
      <c r="E4" s="7">
        <f>+AI6</f>
        <v>325</v>
      </c>
      <c r="F4" s="7">
        <f>+AE6</f>
        <v>131</v>
      </c>
      <c r="G4" s="7">
        <f>+AG6</f>
        <v>114</v>
      </c>
      <c r="H4" s="5">
        <f>+E4-G4</f>
        <v>211</v>
      </c>
      <c r="I4" s="22" t="s">
        <v>10</v>
      </c>
      <c r="J4" s="23" t="s">
        <v>568</v>
      </c>
      <c r="K4" s="24" t="s">
        <v>19</v>
      </c>
      <c r="M4" s="17"/>
      <c r="N4" s="17"/>
    </row>
    <row r="5" spans="1:36" ht="14.25" customHeight="1" x14ac:dyDescent="0.25">
      <c r="D5" s="8" t="s">
        <v>12</v>
      </c>
      <c r="E5" s="8">
        <f>+E3+E4</f>
        <v>435</v>
      </c>
      <c r="F5" s="8">
        <f>+F3+F4</f>
        <v>203</v>
      </c>
      <c r="G5" s="8">
        <f>+G3+G4</f>
        <v>186</v>
      </c>
      <c r="H5" s="8">
        <f>+H3+H4</f>
        <v>249</v>
      </c>
      <c r="I5" s="33" t="s">
        <v>16</v>
      </c>
      <c r="J5" s="25" t="s">
        <v>567</v>
      </c>
      <c r="K5" s="26" t="s">
        <v>41</v>
      </c>
      <c r="M5" s="17"/>
      <c r="N5" s="17"/>
      <c r="Q5" s="9"/>
      <c r="S5" s="9">
        <f t="shared" ref="S5:AB5" si="0">SUM(S8:S2420)</f>
        <v>58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28</v>
      </c>
      <c r="AA5" s="9">
        <f t="shared" si="0"/>
        <v>16</v>
      </c>
      <c r="AB5" s="9">
        <f t="shared" si="0"/>
        <v>21</v>
      </c>
      <c r="AC5" s="9"/>
      <c r="AD5" s="9"/>
      <c r="AE5" s="9"/>
      <c r="AF5" s="9"/>
      <c r="AG5" s="9"/>
    </row>
    <row r="6" spans="1:36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SUM(AD8:AD1689)</f>
        <v>72</v>
      </c>
      <c r="AE6" s="1">
        <f t="shared" si="1"/>
        <v>131</v>
      </c>
      <c r="AF6" s="1">
        <f t="shared" si="1"/>
        <v>72</v>
      </c>
      <c r="AG6" s="1">
        <f t="shared" si="1"/>
        <v>114</v>
      </c>
      <c r="AH6" s="1">
        <f t="shared" si="1"/>
        <v>110</v>
      </c>
      <c r="AI6" s="1">
        <f t="shared" si="1"/>
        <v>325</v>
      </c>
    </row>
    <row r="7" spans="1:36" s="31" customFormat="1" ht="14.25" customHeight="1" x14ac:dyDescent="0.25">
      <c r="A7" s="27" t="s">
        <v>1378</v>
      </c>
      <c r="B7" s="27" t="s">
        <v>1379</v>
      </c>
      <c r="C7" s="27" t="s">
        <v>1380</v>
      </c>
      <c r="D7" s="32" t="s">
        <v>13</v>
      </c>
      <c r="E7" s="32" t="s">
        <v>23</v>
      </c>
      <c r="F7" s="32" t="s">
        <v>14</v>
      </c>
      <c r="G7" s="32" t="s">
        <v>18</v>
      </c>
      <c r="H7" s="32" t="s">
        <v>42</v>
      </c>
      <c r="I7" s="27" t="s">
        <v>11</v>
      </c>
      <c r="J7" s="27" t="s">
        <v>1381</v>
      </c>
      <c r="K7" s="27" t="s">
        <v>1640</v>
      </c>
      <c r="L7" s="27" t="s">
        <v>17</v>
      </c>
      <c r="M7" s="32" t="s">
        <v>1382</v>
      </c>
      <c r="N7" s="28" t="s">
        <v>0</v>
      </c>
      <c r="O7" s="18" t="s">
        <v>1</v>
      </c>
      <c r="P7" s="18" t="s">
        <v>2</v>
      </c>
      <c r="Q7" s="32" t="s">
        <v>1888</v>
      </c>
      <c r="R7" s="29"/>
      <c r="S7" s="30">
        <v>1</v>
      </c>
      <c r="T7" s="30">
        <f>+S7+1</f>
        <v>2</v>
      </c>
      <c r="U7" s="30">
        <f t="shared" ref="U7:AB7" si="2">+T7+1</f>
        <v>3</v>
      </c>
      <c r="V7" s="30">
        <f t="shared" si="2"/>
        <v>4</v>
      </c>
      <c r="W7" s="30">
        <f t="shared" si="2"/>
        <v>5</v>
      </c>
      <c r="X7" s="30">
        <f t="shared" si="2"/>
        <v>6</v>
      </c>
      <c r="Y7" s="30">
        <f t="shared" si="2"/>
        <v>7</v>
      </c>
      <c r="Z7" s="30">
        <f t="shared" si="2"/>
        <v>8</v>
      </c>
      <c r="AA7" s="30">
        <f t="shared" si="2"/>
        <v>9</v>
      </c>
      <c r="AB7" s="30">
        <f t="shared" si="2"/>
        <v>10</v>
      </c>
      <c r="AC7" s="30"/>
      <c r="AD7" s="30" t="s">
        <v>21</v>
      </c>
      <c r="AE7" s="30" t="s">
        <v>22</v>
      </c>
      <c r="AF7" s="30" t="s">
        <v>4</v>
      </c>
      <c r="AG7" s="30" t="s">
        <v>5</v>
      </c>
      <c r="AH7" s="30" t="s">
        <v>6</v>
      </c>
      <c r="AI7" s="30" t="s">
        <v>7</v>
      </c>
      <c r="AJ7" s="30"/>
    </row>
    <row r="8" spans="1:36" ht="14.25" customHeight="1" x14ac:dyDescent="0.25">
      <c r="A8" s="47">
        <v>0</v>
      </c>
      <c r="B8" s="47">
        <v>1</v>
      </c>
      <c r="C8" s="47">
        <v>1</v>
      </c>
      <c r="D8" s="48" t="s">
        <v>125</v>
      </c>
      <c r="E8" s="48" t="s">
        <v>911</v>
      </c>
      <c r="F8" s="48" t="s">
        <v>326</v>
      </c>
      <c r="G8" s="48" t="s">
        <v>179</v>
      </c>
      <c r="H8" s="48" t="s">
        <v>355</v>
      </c>
      <c r="I8" s="47" t="s">
        <v>473</v>
      </c>
      <c r="J8" s="47">
        <v>1</v>
      </c>
      <c r="K8" s="49" t="s">
        <v>737</v>
      </c>
      <c r="L8" s="49">
        <v>200</v>
      </c>
      <c r="M8" s="50" t="s">
        <v>39</v>
      </c>
      <c r="N8" s="50" t="s">
        <v>1742</v>
      </c>
      <c r="O8" s="51"/>
      <c r="P8" s="51"/>
      <c r="Q8" s="48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1" si="3">+O8*P8*(1-A8)</f>
        <v>0</v>
      </c>
      <c r="AG8" s="1">
        <f t="shared" ref="AG8:AG71" si="4">O8*(1-P8)*(1-A8)</f>
        <v>0</v>
      </c>
      <c r="AH8" s="1">
        <f t="shared" ref="AH8:AH71" si="5">+P8*(1-A8)</f>
        <v>0</v>
      </c>
      <c r="AI8" s="1">
        <f t="shared" ref="AI8:AI71" si="6">+(1-A8)*(1-P8)</f>
        <v>1</v>
      </c>
    </row>
    <row r="9" spans="1:36" ht="14.25" customHeight="1" x14ac:dyDescent="0.25">
      <c r="A9" s="41">
        <v>0</v>
      </c>
      <c r="B9" s="41">
        <v>1</v>
      </c>
      <c r="C9" s="41">
        <v>1</v>
      </c>
      <c r="D9" s="42" t="s">
        <v>1598</v>
      </c>
      <c r="E9" s="42" t="s">
        <v>172</v>
      </c>
      <c r="F9" s="42" t="s">
        <v>1548</v>
      </c>
      <c r="G9" s="42" t="s">
        <v>39</v>
      </c>
      <c r="H9" s="42" t="s">
        <v>364</v>
      </c>
      <c r="I9" s="41" t="s">
        <v>1549</v>
      </c>
      <c r="J9" s="41">
        <v>99</v>
      </c>
      <c r="K9" s="43" t="s">
        <v>968</v>
      </c>
      <c r="L9" s="43" t="s">
        <v>1708</v>
      </c>
      <c r="M9" s="44" t="s">
        <v>1386</v>
      </c>
      <c r="N9" s="45"/>
      <c r="O9" s="46"/>
      <c r="P9" s="46">
        <v>1</v>
      </c>
      <c r="Q9" s="4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0</v>
      </c>
      <c r="AE9" s="1">
        <f>O9*(1-P9)</f>
        <v>0</v>
      </c>
      <c r="AF9" s="1">
        <f t="shared" si="3"/>
        <v>0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6" ht="14.25" customHeight="1" x14ac:dyDescent="0.25">
      <c r="A10" s="47">
        <v>0</v>
      </c>
      <c r="B10" s="47">
        <v>1</v>
      </c>
      <c r="C10" s="47">
        <v>1</v>
      </c>
      <c r="D10" s="48" t="s">
        <v>151</v>
      </c>
      <c r="E10" s="48" t="s">
        <v>172</v>
      </c>
      <c r="F10" s="48" t="s">
        <v>352</v>
      </c>
      <c r="G10" s="48" t="s">
        <v>179</v>
      </c>
      <c r="H10" s="48" t="s">
        <v>355</v>
      </c>
      <c r="I10" s="47" t="s">
        <v>499</v>
      </c>
      <c r="J10" s="47">
        <v>1</v>
      </c>
      <c r="K10" s="49" t="s">
        <v>968</v>
      </c>
      <c r="L10" s="49" t="s">
        <v>1709</v>
      </c>
      <c r="M10" s="50" t="s">
        <v>1383</v>
      </c>
      <c r="N10" s="50" t="s">
        <v>1754</v>
      </c>
      <c r="O10" s="51"/>
      <c r="P10" s="51"/>
      <c r="Q10" s="48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6" ht="14.25" customHeight="1" x14ac:dyDescent="0.25">
      <c r="A11" s="47">
        <v>0</v>
      </c>
      <c r="B11" s="47">
        <v>1</v>
      </c>
      <c r="C11" s="47">
        <v>1</v>
      </c>
      <c r="D11" s="48" t="s">
        <v>1036</v>
      </c>
      <c r="E11" s="48" t="s">
        <v>175</v>
      </c>
      <c r="F11" s="48" t="s">
        <v>1094</v>
      </c>
      <c r="G11" s="48" t="s">
        <v>39</v>
      </c>
      <c r="H11" s="48" t="s">
        <v>1037</v>
      </c>
      <c r="I11" s="47" t="s">
        <v>1116</v>
      </c>
      <c r="J11" s="47">
        <v>16</v>
      </c>
      <c r="K11" s="49" t="s">
        <v>966</v>
      </c>
      <c r="L11" s="49">
        <v>45</v>
      </c>
      <c r="M11" s="50" t="s">
        <v>1384</v>
      </c>
      <c r="N11" s="50" t="s">
        <v>1809</v>
      </c>
      <c r="O11" s="51"/>
      <c r="P11" s="51"/>
      <c r="Q11" s="48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3"/>
        <v>0</v>
      </c>
      <c r="AG11" s="1">
        <f t="shared" si="4"/>
        <v>0</v>
      </c>
      <c r="AH11" s="1">
        <f t="shared" si="5"/>
        <v>0</v>
      </c>
      <c r="AI11" s="1">
        <f t="shared" si="6"/>
        <v>1</v>
      </c>
    </row>
    <row r="12" spans="1:36" ht="14.25" customHeight="1" x14ac:dyDescent="0.25">
      <c r="A12" s="47">
        <v>0</v>
      </c>
      <c r="B12" s="47">
        <v>1</v>
      </c>
      <c r="C12" s="47">
        <v>1</v>
      </c>
      <c r="D12" s="48" t="s">
        <v>117</v>
      </c>
      <c r="E12" s="48" t="s">
        <v>172</v>
      </c>
      <c r="F12" s="48" t="s">
        <v>317</v>
      </c>
      <c r="G12" s="48" t="s">
        <v>318</v>
      </c>
      <c r="H12" s="48" t="s">
        <v>355</v>
      </c>
      <c r="I12" s="47" t="s">
        <v>465</v>
      </c>
      <c r="J12" s="47">
        <v>8</v>
      </c>
      <c r="K12" s="49" t="s">
        <v>970</v>
      </c>
      <c r="L12" s="49" t="s">
        <v>1712</v>
      </c>
      <c r="M12" s="50" t="s">
        <v>1123</v>
      </c>
      <c r="N12" s="50" t="s">
        <v>1743</v>
      </c>
      <c r="O12" s="51"/>
      <c r="P12" s="51"/>
      <c r="Q12" s="48"/>
      <c r="S12" s="1">
        <f t="shared" ref="S12:S73" si="7">IF(J12=$S$7,1,0)</f>
        <v>0</v>
      </c>
      <c r="T12" s="1">
        <f t="shared" ref="T12:T73" si="8">IF(J12=$T$7,1,0)</f>
        <v>0</v>
      </c>
      <c r="U12" s="1">
        <f t="shared" ref="U12:U73" si="9">IF(J12=$U$7,1,0)</f>
        <v>0</v>
      </c>
      <c r="V12" s="1">
        <f t="shared" ref="V12:V73" si="10">IF(J12=$V$7,1,0)</f>
        <v>0</v>
      </c>
      <c r="W12" s="1">
        <f t="shared" ref="W12:W73" si="11">IF(J12=$W$7,1,0)</f>
        <v>0</v>
      </c>
      <c r="X12" s="1">
        <f t="shared" ref="X12:X73" si="12">IF(J12=$X$7,1,0)</f>
        <v>0</v>
      </c>
      <c r="Y12" s="1">
        <f t="shared" ref="Y12:Y73" si="13">IF(J12=$Y$7,1,0)</f>
        <v>0</v>
      </c>
      <c r="Z12" s="1">
        <f t="shared" ref="Z12:Z73" si="14">IF(J12=$Z$7,1,0)</f>
        <v>1</v>
      </c>
      <c r="AA12" s="1">
        <f t="shared" ref="AA12:AA73" si="15">IF(J12=$AA$7,1,0)</f>
        <v>0</v>
      </c>
      <c r="AB12" s="1">
        <f t="shared" ref="AB12:AB73" si="16">IF(J12=$AB$7,1,0)</f>
        <v>0</v>
      </c>
      <c r="AD12" s="1">
        <f t="shared" ref="AD12:AD73" si="17">+O12*P12</f>
        <v>0</v>
      </c>
      <c r="AE12" s="1">
        <f t="shared" ref="AE12:AE73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6" ht="14.25" customHeight="1" x14ac:dyDescent="0.25">
      <c r="A13" s="47">
        <v>0</v>
      </c>
      <c r="B13" s="47">
        <v>1</v>
      </c>
      <c r="C13" s="47">
        <v>1</v>
      </c>
      <c r="D13" s="48" t="s">
        <v>140</v>
      </c>
      <c r="E13" s="48" t="s">
        <v>172</v>
      </c>
      <c r="F13" s="48" t="s">
        <v>341</v>
      </c>
      <c r="G13" s="48" t="s">
        <v>342</v>
      </c>
      <c r="H13" s="48" t="s">
        <v>355</v>
      </c>
      <c r="I13" s="47" t="s">
        <v>489</v>
      </c>
      <c r="J13" s="47">
        <v>10</v>
      </c>
      <c r="K13" s="49" t="s">
        <v>968</v>
      </c>
      <c r="L13" s="49" t="s">
        <v>1713</v>
      </c>
      <c r="M13" s="50" t="s">
        <v>1123</v>
      </c>
      <c r="N13" s="50" t="s">
        <v>1743</v>
      </c>
      <c r="O13" s="51"/>
      <c r="P13" s="51"/>
      <c r="Q13" s="48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6" ht="14.25" customHeight="1" x14ac:dyDescent="0.25">
      <c r="A14" s="47">
        <v>0</v>
      </c>
      <c r="B14" s="47">
        <v>1</v>
      </c>
      <c r="C14" s="47">
        <v>1</v>
      </c>
      <c r="D14" s="48" t="s">
        <v>536</v>
      </c>
      <c r="E14" s="48" t="s">
        <v>172</v>
      </c>
      <c r="F14" s="48" t="s">
        <v>1300</v>
      </c>
      <c r="G14" s="48" t="s">
        <v>241</v>
      </c>
      <c r="H14" s="48" t="s">
        <v>355</v>
      </c>
      <c r="I14" s="47" t="s">
        <v>1367</v>
      </c>
      <c r="J14" s="47">
        <v>1</v>
      </c>
      <c r="K14" s="49" t="s">
        <v>964</v>
      </c>
      <c r="L14" s="49" t="s">
        <v>1715</v>
      </c>
      <c r="M14" s="50" t="s">
        <v>1385</v>
      </c>
      <c r="N14" s="50" t="s">
        <v>1746</v>
      </c>
      <c r="O14" s="51"/>
      <c r="P14" s="51"/>
      <c r="Q14" s="48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6" ht="14.25" customHeight="1" x14ac:dyDescent="0.25">
      <c r="A15" s="47">
        <v>0</v>
      </c>
      <c r="B15" s="47">
        <v>1</v>
      </c>
      <c r="C15" s="47">
        <v>1</v>
      </c>
      <c r="D15" s="48" t="s">
        <v>116</v>
      </c>
      <c r="E15" s="48" t="s">
        <v>172</v>
      </c>
      <c r="F15" s="48" t="s">
        <v>316</v>
      </c>
      <c r="G15" s="48" t="s">
        <v>187</v>
      </c>
      <c r="H15" s="48" t="s">
        <v>355</v>
      </c>
      <c r="I15" s="47" t="s">
        <v>464</v>
      </c>
      <c r="J15" s="47">
        <v>1</v>
      </c>
      <c r="K15" s="49" t="s">
        <v>968</v>
      </c>
      <c r="L15" s="49" t="s">
        <v>1713</v>
      </c>
      <c r="M15" s="50" t="s">
        <v>1123</v>
      </c>
      <c r="N15" s="50" t="s">
        <v>1754</v>
      </c>
      <c r="O15" s="51"/>
      <c r="P15" s="51"/>
      <c r="Q15" s="48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6" ht="14.25" customHeight="1" x14ac:dyDescent="0.25">
      <c r="A16" s="41">
        <v>0</v>
      </c>
      <c r="B16" s="41">
        <v>1</v>
      </c>
      <c r="C16" s="41">
        <v>1</v>
      </c>
      <c r="D16" s="42" t="s">
        <v>110</v>
      </c>
      <c r="E16" s="42" t="s">
        <v>172</v>
      </c>
      <c r="F16" s="42" t="s">
        <v>310</v>
      </c>
      <c r="G16" s="42" t="s">
        <v>214</v>
      </c>
      <c r="H16" s="42" t="s">
        <v>355</v>
      </c>
      <c r="I16" s="41" t="s">
        <v>459</v>
      </c>
      <c r="J16" s="41">
        <v>1</v>
      </c>
      <c r="K16" s="43" t="s">
        <v>1705</v>
      </c>
      <c r="L16" s="43" t="s">
        <v>39</v>
      </c>
      <c r="M16" s="44" t="s">
        <v>39</v>
      </c>
      <c r="N16" s="45"/>
      <c r="O16" s="46"/>
      <c r="P16" s="46">
        <v>1</v>
      </c>
      <c r="Q16" s="4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7">
        <v>0</v>
      </c>
      <c r="B17" s="47">
        <v>1</v>
      </c>
      <c r="C17" s="47">
        <v>1</v>
      </c>
      <c r="D17" s="48" t="s">
        <v>120</v>
      </c>
      <c r="E17" s="48" t="s">
        <v>684</v>
      </c>
      <c r="F17" s="48" t="s">
        <v>1095</v>
      </c>
      <c r="G17" s="48" t="s">
        <v>39</v>
      </c>
      <c r="H17" s="48" t="s">
        <v>356</v>
      </c>
      <c r="I17" s="47" t="s">
        <v>1117</v>
      </c>
      <c r="J17" s="47">
        <v>11</v>
      </c>
      <c r="K17" s="49" t="s">
        <v>970</v>
      </c>
      <c r="L17" s="49" t="s">
        <v>1721</v>
      </c>
      <c r="M17" s="50" t="s">
        <v>1386</v>
      </c>
      <c r="N17" s="50" t="s">
        <v>1748</v>
      </c>
      <c r="O17" s="51"/>
      <c r="P17" s="51"/>
      <c r="Q17" s="48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7">
        <v>0</v>
      </c>
      <c r="B18" s="47">
        <v>1</v>
      </c>
      <c r="C18" s="47">
        <v>1</v>
      </c>
      <c r="D18" s="48" t="s">
        <v>149</v>
      </c>
      <c r="E18" s="48" t="s">
        <v>172</v>
      </c>
      <c r="F18" s="48" t="s">
        <v>350</v>
      </c>
      <c r="G18" s="48" t="s">
        <v>39</v>
      </c>
      <c r="H18" s="48" t="s">
        <v>380</v>
      </c>
      <c r="I18" s="47" t="s">
        <v>497</v>
      </c>
      <c r="J18" s="47">
        <v>16</v>
      </c>
      <c r="K18" s="49" t="s">
        <v>964</v>
      </c>
      <c r="L18" s="49">
        <v>75</v>
      </c>
      <c r="M18" s="50" t="s">
        <v>1386</v>
      </c>
      <c r="N18" s="50" t="s">
        <v>1809</v>
      </c>
      <c r="O18" s="51"/>
      <c r="P18" s="51"/>
      <c r="Q18" s="48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7">
        <v>0</v>
      </c>
      <c r="B19" s="47">
        <v>1</v>
      </c>
      <c r="C19" s="47">
        <v>1</v>
      </c>
      <c r="D19" s="48" t="s">
        <v>121</v>
      </c>
      <c r="E19" s="48" t="s">
        <v>172</v>
      </c>
      <c r="F19" s="48" t="s">
        <v>323</v>
      </c>
      <c r="G19" s="48" t="s">
        <v>324</v>
      </c>
      <c r="H19" s="48" t="s">
        <v>355</v>
      </c>
      <c r="I19" s="47" t="s">
        <v>469</v>
      </c>
      <c r="J19" s="47">
        <v>99</v>
      </c>
      <c r="K19" s="49" t="s">
        <v>969</v>
      </c>
      <c r="L19" s="49">
        <v>200</v>
      </c>
      <c r="M19" s="50" t="s">
        <v>39</v>
      </c>
      <c r="N19" s="50" t="s">
        <v>1816</v>
      </c>
      <c r="O19" s="51"/>
      <c r="P19" s="51"/>
      <c r="Q19" s="48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41">
        <v>0</v>
      </c>
      <c r="B20" s="41">
        <v>1</v>
      </c>
      <c r="C20" s="41">
        <v>1</v>
      </c>
      <c r="D20" s="42" t="s">
        <v>101</v>
      </c>
      <c r="E20" s="42" t="s">
        <v>172</v>
      </c>
      <c r="F20" s="42" t="s">
        <v>299</v>
      </c>
      <c r="G20" s="42" t="s">
        <v>39</v>
      </c>
      <c r="H20" s="42" t="s">
        <v>357</v>
      </c>
      <c r="I20" s="41" t="s">
        <v>449</v>
      </c>
      <c r="J20" s="41">
        <v>15</v>
      </c>
      <c r="K20" s="43" t="s">
        <v>971</v>
      </c>
      <c r="L20" s="43" t="s">
        <v>39</v>
      </c>
      <c r="M20" s="44" t="s">
        <v>39</v>
      </c>
      <c r="N20" s="45"/>
      <c r="O20" s="46"/>
      <c r="P20" s="46">
        <v>1</v>
      </c>
      <c r="Q20" s="57" t="s">
        <v>1900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41">
        <v>0</v>
      </c>
      <c r="B21" s="41">
        <v>1</v>
      </c>
      <c r="C21" s="41">
        <v>1</v>
      </c>
      <c r="D21" s="57" t="s">
        <v>900</v>
      </c>
      <c r="E21" s="42" t="s">
        <v>171</v>
      </c>
      <c r="F21" s="42" t="s">
        <v>295</v>
      </c>
      <c r="G21" s="42" t="s">
        <v>39</v>
      </c>
      <c r="H21" s="42" t="s">
        <v>356</v>
      </c>
      <c r="I21" s="41" t="s">
        <v>445</v>
      </c>
      <c r="J21" s="41">
        <v>11</v>
      </c>
      <c r="K21" s="43" t="s">
        <v>964</v>
      </c>
      <c r="L21" s="43" t="s">
        <v>39</v>
      </c>
      <c r="M21" s="44" t="s">
        <v>39</v>
      </c>
      <c r="N21" s="45"/>
      <c r="O21" s="46"/>
      <c r="P21" s="46">
        <v>1</v>
      </c>
      <c r="Q21" s="4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41">
        <v>0</v>
      </c>
      <c r="B22" s="41">
        <v>1</v>
      </c>
      <c r="C22" s="41">
        <v>1</v>
      </c>
      <c r="D22" s="42" t="s">
        <v>118</v>
      </c>
      <c r="E22" s="42" t="s">
        <v>172</v>
      </c>
      <c r="F22" s="42" t="s">
        <v>319</v>
      </c>
      <c r="G22" s="42" t="s">
        <v>39</v>
      </c>
      <c r="H22" s="42" t="s">
        <v>369</v>
      </c>
      <c r="I22" s="41" t="s">
        <v>466</v>
      </c>
      <c r="J22" s="41">
        <v>18</v>
      </c>
      <c r="K22" s="43" t="s">
        <v>971</v>
      </c>
      <c r="L22" s="43" t="s">
        <v>39</v>
      </c>
      <c r="M22" s="44" t="s">
        <v>39</v>
      </c>
      <c r="N22" s="45"/>
      <c r="O22" s="46"/>
      <c r="P22" s="46">
        <v>1</v>
      </c>
      <c r="Q22" s="4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4">
        <v>0</v>
      </c>
      <c r="B23" s="34">
        <v>1</v>
      </c>
      <c r="C23" s="34">
        <v>1</v>
      </c>
      <c r="D23" s="35" t="s">
        <v>138</v>
      </c>
      <c r="E23" s="35" t="s">
        <v>685</v>
      </c>
      <c r="F23" s="35" t="s">
        <v>340</v>
      </c>
      <c r="G23" s="35" t="s">
        <v>1172</v>
      </c>
      <c r="H23" s="35" t="s">
        <v>355</v>
      </c>
      <c r="I23" s="34" t="s">
        <v>487</v>
      </c>
      <c r="J23" s="34">
        <v>1</v>
      </c>
      <c r="K23" s="36" t="s">
        <v>964</v>
      </c>
      <c r="L23" s="36" t="s">
        <v>1713</v>
      </c>
      <c r="M23" s="37" t="s">
        <v>1123</v>
      </c>
      <c r="N23" s="37" t="s">
        <v>1750</v>
      </c>
      <c r="O23" s="38">
        <v>1</v>
      </c>
      <c r="P23" s="38"/>
      <c r="Q23" s="35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41">
        <v>0</v>
      </c>
      <c r="B24" s="41">
        <v>1</v>
      </c>
      <c r="C24" s="41">
        <v>1</v>
      </c>
      <c r="D24" s="42" t="s">
        <v>1595</v>
      </c>
      <c r="E24" s="42" t="s">
        <v>172</v>
      </c>
      <c r="F24" s="42" t="s">
        <v>1596</v>
      </c>
      <c r="G24" s="42" t="s">
        <v>214</v>
      </c>
      <c r="H24" s="42" t="s">
        <v>355</v>
      </c>
      <c r="I24" s="41" t="s">
        <v>1597</v>
      </c>
      <c r="J24" s="41">
        <v>1</v>
      </c>
      <c r="K24" s="43" t="s">
        <v>970</v>
      </c>
      <c r="L24" s="43" t="s">
        <v>39</v>
      </c>
      <c r="M24" s="44" t="s">
        <v>39</v>
      </c>
      <c r="N24" s="45"/>
      <c r="O24" s="46"/>
      <c r="P24" s="46">
        <v>1</v>
      </c>
      <c r="Q24" s="4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4">
        <v>0</v>
      </c>
      <c r="B25" s="34">
        <v>1</v>
      </c>
      <c r="C25" s="34">
        <v>1</v>
      </c>
      <c r="D25" s="35" t="s">
        <v>1055</v>
      </c>
      <c r="E25" s="35" t="s">
        <v>172</v>
      </c>
      <c r="F25" s="35" t="s">
        <v>1099</v>
      </c>
      <c r="G25" s="35" t="s">
        <v>1042</v>
      </c>
      <c r="H25" s="35" t="s">
        <v>355</v>
      </c>
      <c r="I25" s="34" t="s">
        <v>1056</v>
      </c>
      <c r="J25" s="34">
        <v>99</v>
      </c>
      <c r="K25" s="36" t="s">
        <v>737</v>
      </c>
      <c r="L25" s="36">
        <v>150</v>
      </c>
      <c r="M25" s="37" t="s">
        <v>39</v>
      </c>
      <c r="N25" s="37" t="s">
        <v>1756</v>
      </c>
      <c r="O25" s="38">
        <v>1</v>
      </c>
      <c r="P25" s="38"/>
      <c r="Q25" s="35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41">
        <v>0</v>
      </c>
      <c r="B26" s="41">
        <v>1</v>
      </c>
      <c r="C26" s="41">
        <v>1</v>
      </c>
      <c r="D26" s="42" t="s">
        <v>112</v>
      </c>
      <c r="E26" s="42" t="s">
        <v>171</v>
      </c>
      <c r="F26" s="42" t="s">
        <v>312</v>
      </c>
      <c r="G26" s="42" t="s">
        <v>39</v>
      </c>
      <c r="H26" s="42" t="s">
        <v>356</v>
      </c>
      <c r="I26" s="41" t="s">
        <v>461</v>
      </c>
      <c r="J26" s="41">
        <v>11</v>
      </c>
      <c r="K26" s="43" t="s">
        <v>737</v>
      </c>
      <c r="L26" s="43" t="s">
        <v>39</v>
      </c>
      <c r="M26" s="44" t="s">
        <v>39</v>
      </c>
      <c r="N26" s="45"/>
      <c r="O26" s="46"/>
      <c r="P26" s="46">
        <v>1</v>
      </c>
      <c r="Q26" s="42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7">
        <v>0</v>
      </c>
      <c r="B27" s="47">
        <v>1</v>
      </c>
      <c r="C27" s="47">
        <v>1</v>
      </c>
      <c r="D27" s="48" t="s">
        <v>103</v>
      </c>
      <c r="E27" s="48" t="s">
        <v>172</v>
      </c>
      <c r="F27" s="48" t="s">
        <v>302</v>
      </c>
      <c r="G27" s="48" t="s">
        <v>303</v>
      </c>
      <c r="H27" s="48" t="s">
        <v>355</v>
      </c>
      <c r="I27" s="47" t="s">
        <v>451</v>
      </c>
      <c r="J27" s="47">
        <v>1</v>
      </c>
      <c r="K27" s="49" t="s">
        <v>968</v>
      </c>
      <c r="L27" s="49" t="s">
        <v>1722</v>
      </c>
      <c r="M27" s="50" t="s">
        <v>1387</v>
      </c>
      <c r="N27" s="50" t="s">
        <v>1743</v>
      </c>
      <c r="O27" s="51"/>
      <c r="P27" s="51"/>
      <c r="Q27" s="48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4">
        <v>0</v>
      </c>
      <c r="B28" s="34">
        <v>1</v>
      </c>
      <c r="C28" s="34">
        <v>1</v>
      </c>
      <c r="D28" s="35" t="s">
        <v>114</v>
      </c>
      <c r="E28" s="35" t="s">
        <v>172</v>
      </c>
      <c r="F28" s="35" t="s">
        <v>314</v>
      </c>
      <c r="G28" s="35" t="s">
        <v>315</v>
      </c>
      <c r="H28" s="35" t="s">
        <v>355</v>
      </c>
      <c r="I28" s="34" t="s">
        <v>463</v>
      </c>
      <c r="J28" s="34">
        <v>1</v>
      </c>
      <c r="K28" s="36" t="s">
        <v>971</v>
      </c>
      <c r="L28" s="36" t="s">
        <v>39</v>
      </c>
      <c r="M28" s="37" t="s">
        <v>39</v>
      </c>
      <c r="N28" s="37" t="s">
        <v>1740</v>
      </c>
      <c r="O28" s="38">
        <v>1</v>
      </c>
      <c r="P28" s="38">
        <v>1</v>
      </c>
      <c r="Q28" s="35" t="s">
        <v>1919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4">
        <v>0</v>
      </c>
      <c r="B29" s="34">
        <v>1</v>
      </c>
      <c r="C29" s="34">
        <v>1</v>
      </c>
      <c r="D29" s="35" t="s">
        <v>860</v>
      </c>
      <c r="E29" s="35" t="s">
        <v>172</v>
      </c>
      <c r="F29" s="35" t="s">
        <v>861</v>
      </c>
      <c r="G29" s="35" t="s">
        <v>221</v>
      </c>
      <c r="H29" s="35" t="s">
        <v>355</v>
      </c>
      <c r="I29" s="34" t="s">
        <v>862</v>
      </c>
      <c r="J29" s="34">
        <v>8</v>
      </c>
      <c r="K29" s="36" t="s">
        <v>968</v>
      </c>
      <c r="L29" s="36" t="s">
        <v>1717</v>
      </c>
      <c r="M29" s="37" t="s">
        <v>1567</v>
      </c>
      <c r="N29" s="37" t="s">
        <v>1763</v>
      </c>
      <c r="O29" s="38">
        <v>1</v>
      </c>
      <c r="P29" s="38"/>
      <c r="Q29" s="35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41">
        <v>0</v>
      </c>
      <c r="B30" s="41">
        <v>1</v>
      </c>
      <c r="C30" s="41">
        <v>1</v>
      </c>
      <c r="D30" s="42" t="s">
        <v>133</v>
      </c>
      <c r="E30" s="42" t="s">
        <v>172</v>
      </c>
      <c r="F30" s="42" t="s">
        <v>336</v>
      </c>
      <c r="G30" s="42" t="s">
        <v>39</v>
      </c>
      <c r="H30" s="42" t="s">
        <v>358</v>
      </c>
      <c r="I30" s="41" t="s">
        <v>483</v>
      </c>
      <c r="J30" s="41">
        <v>18</v>
      </c>
      <c r="K30" s="43" t="s">
        <v>964</v>
      </c>
      <c r="L30" s="43" t="s">
        <v>39</v>
      </c>
      <c r="M30" s="44" t="s">
        <v>39</v>
      </c>
      <c r="N30" s="45"/>
      <c r="O30" s="46"/>
      <c r="P30" s="46">
        <v>1</v>
      </c>
      <c r="Q30" s="42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7">
        <v>0</v>
      </c>
      <c r="B31" s="47">
        <v>1</v>
      </c>
      <c r="C31" s="47">
        <v>1</v>
      </c>
      <c r="D31" s="48" t="s">
        <v>144</v>
      </c>
      <c r="E31" s="48" t="s">
        <v>175</v>
      </c>
      <c r="F31" s="48" t="s">
        <v>347</v>
      </c>
      <c r="G31" s="48" t="s">
        <v>39</v>
      </c>
      <c r="H31" s="48" t="s">
        <v>368</v>
      </c>
      <c r="I31" s="47" t="s">
        <v>493</v>
      </c>
      <c r="J31" s="47">
        <v>18</v>
      </c>
      <c r="K31" s="49" t="s">
        <v>968</v>
      </c>
      <c r="L31" s="49">
        <v>70</v>
      </c>
      <c r="M31" s="50" t="s">
        <v>1388</v>
      </c>
      <c r="N31" s="50" t="s">
        <v>1741</v>
      </c>
      <c r="O31" s="51"/>
      <c r="P31" s="51"/>
      <c r="Q31" s="68" t="s">
        <v>1913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47">
        <v>0</v>
      </c>
      <c r="B32" s="47">
        <v>1</v>
      </c>
      <c r="C32" s="47">
        <v>1</v>
      </c>
      <c r="D32" s="48" t="s">
        <v>153</v>
      </c>
      <c r="E32" s="48" t="s">
        <v>172</v>
      </c>
      <c r="F32" s="48" t="s">
        <v>353</v>
      </c>
      <c r="G32" s="48" t="s">
        <v>195</v>
      </c>
      <c r="H32" s="48" t="s">
        <v>355</v>
      </c>
      <c r="I32" s="47" t="s">
        <v>501</v>
      </c>
      <c r="J32" s="47">
        <v>9</v>
      </c>
      <c r="K32" s="49" t="s">
        <v>964</v>
      </c>
      <c r="L32" s="49" t="s">
        <v>1713</v>
      </c>
      <c r="M32" s="50" t="s">
        <v>1389</v>
      </c>
      <c r="N32" s="50" t="s">
        <v>1744</v>
      </c>
      <c r="O32" s="51"/>
      <c r="P32" s="51"/>
      <c r="Q32" s="48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0</v>
      </c>
      <c r="AF32" s="1">
        <f t="shared" si="3"/>
        <v>0</v>
      </c>
      <c r="AG32" s="1">
        <f t="shared" si="4"/>
        <v>0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4">
        <v>0</v>
      </c>
      <c r="B33" s="34">
        <v>1</v>
      </c>
      <c r="C33" s="34">
        <v>2</v>
      </c>
      <c r="D33" s="39" t="s">
        <v>147</v>
      </c>
      <c r="E33" s="39" t="s">
        <v>177</v>
      </c>
      <c r="F33" s="39" t="s">
        <v>657</v>
      </c>
      <c r="G33" s="39" t="s">
        <v>259</v>
      </c>
      <c r="H33" s="39" t="s">
        <v>355</v>
      </c>
      <c r="I33" s="40" t="s">
        <v>495</v>
      </c>
      <c r="J33" s="34">
        <v>8</v>
      </c>
      <c r="K33" s="36" t="s">
        <v>960</v>
      </c>
      <c r="L33" s="36" t="s">
        <v>690</v>
      </c>
      <c r="M33" s="37" t="s">
        <v>692</v>
      </c>
      <c r="N33" s="37" t="s">
        <v>1734</v>
      </c>
      <c r="O33" s="38">
        <v>1</v>
      </c>
      <c r="P33" s="38">
        <v>1</v>
      </c>
      <c r="Q33" s="39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1</v>
      </c>
      <c r="AE33" s="1">
        <f t="shared" si="18"/>
        <v>0</v>
      </c>
      <c r="AF33" s="1">
        <f t="shared" si="3"/>
        <v>1</v>
      </c>
      <c r="AG33" s="1">
        <f t="shared" si="4"/>
        <v>0</v>
      </c>
      <c r="AH33" s="1">
        <f t="shared" si="5"/>
        <v>1</v>
      </c>
      <c r="AI33" s="1">
        <f t="shared" si="6"/>
        <v>0</v>
      </c>
    </row>
    <row r="34" spans="1:35" ht="14.25" customHeight="1" x14ac:dyDescent="0.25">
      <c r="A34" s="47">
        <v>0</v>
      </c>
      <c r="B34" s="47">
        <v>1</v>
      </c>
      <c r="C34" s="47">
        <v>2</v>
      </c>
      <c r="D34" s="48" t="s">
        <v>1556</v>
      </c>
      <c r="E34" s="48" t="s">
        <v>1253</v>
      </c>
      <c r="F34" s="48" t="s">
        <v>1557</v>
      </c>
      <c r="G34" s="48" t="s">
        <v>259</v>
      </c>
      <c r="H34" s="48" t="s">
        <v>355</v>
      </c>
      <c r="I34" s="47" t="s">
        <v>474</v>
      </c>
      <c r="J34" s="47">
        <v>8</v>
      </c>
      <c r="K34" s="49" t="s">
        <v>706</v>
      </c>
      <c r="L34" s="49" t="s">
        <v>693</v>
      </c>
      <c r="M34" s="50" t="s">
        <v>694</v>
      </c>
      <c r="N34" s="50" t="s">
        <v>1747</v>
      </c>
      <c r="O34" s="51"/>
      <c r="P34" s="51"/>
      <c r="Q34" s="48"/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1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0</v>
      </c>
      <c r="AI34" s="1">
        <f t="shared" si="6"/>
        <v>1</v>
      </c>
    </row>
    <row r="35" spans="1:35" ht="14.25" customHeight="1" x14ac:dyDescent="0.25">
      <c r="A35" s="41">
        <v>0</v>
      </c>
      <c r="B35" s="41">
        <v>1</v>
      </c>
      <c r="C35" s="41">
        <v>2</v>
      </c>
      <c r="D35" s="42" t="s">
        <v>1469</v>
      </c>
      <c r="E35" s="42" t="s">
        <v>1471</v>
      </c>
      <c r="F35" s="42" t="s">
        <v>1470</v>
      </c>
      <c r="G35" s="42"/>
      <c r="H35" s="42" t="s">
        <v>1142</v>
      </c>
      <c r="I35" s="41" t="s">
        <v>1472</v>
      </c>
      <c r="J35" s="41">
        <v>99</v>
      </c>
      <c r="K35" s="43" t="s">
        <v>707</v>
      </c>
      <c r="L35" s="43"/>
      <c r="M35" s="44"/>
      <c r="N35" s="45"/>
      <c r="O35" s="46"/>
      <c r="P35" s="46">
        <v>1</v>
      </c>
      <c r="Q35" s="57" t="s">
        <v>1927</v>
      </c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1</v>
      </c>
      <c r="AI35" s="1">
        <f t="shared" si="6"/>
        <v>0</v>
      </c>
    </row>
    <row r="36" spans="1:35" ht="14.25" customHeight="1" x14ac:dyDescent="0.25">
      <c r="A36" s="47">
        <v>0</v>
      </c>
      <c r="B36" s="47">
        <v>1</v>
      </c>
      <c r="C36" s="47">
        <v>2</v>
      </c>
      <c r="D36" s="48" t="s">
        <v>598</v>
      </c>
      <c r="E36" s="48" t="s">
        <v>176</v>
      </c>
      <c r="F36" s="48" t="s">
        <v>599</v>
      </c>
      <c r="G36" s="48" t="s">
        <v>252</v>
      </c>
      <c r="H36" s="48" t="s">
        <v>355</v>
      </c>
      <c r="I36" s="47" t="s">
        <v>600</v>
      </c>
      <c r="J36" s="47">
        <v>99</v>
      </c>
      <c r="K36" s="49" t="s">
        <v>960</v>
      </c>
      <c r="L36" s="49" t="s">
        <v>693</v>
      </c>
      <c r="M36" s="50" t="s">
        <v>1390</v>
      </c>
      <c r="N36" s="50" t="s">
        <v>1754</v>
      </c>
      <c r="O36" s="51"/>
      <c r="P36" s="51"/>
      <c r="Q36" s="48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47">
        <v>0</v>
      </c>
      <c r="B37" s="47">
        <v>1</v>
      </c>
      <c r="C37" s="47">
        <v>2</v>
      </c>
      <c r="D37" s="48" t="s">
        <v>113</v>
      </c>
      <c r="E37" s="48" t="s">
        <v>176</v>
      </c>
      <c r="F37" s="68" t="s">
        <v>1875</v>
      </c>
      <c r="G37" s="48" t="s">
        <v>313</v>
      </c>
      <c r="H37" s="48" t="s">
        <v>355</v>
      </c>
      <c r="I37" s="47" t="s">
        <v>462</v>
      </c>
      <c r="J37" s="47">
        <v>99</v>
      </c>
      <c r="K37" s="49" t="s">
        <v>706</v>
      </c>
      <c r="L37" s="49" t="s">
        <v>693</v>
      </c>
      <c r="M37" s="50" t="s">
        <v>695</v>
      </c>
      <c r="N37" s="50" t="s">
        <v>1809</v>
      </c>
      <c r="O37" s="51"/>
      <c r="P37" s="51"/>
      <c r="Q37" s="48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0</v>
      </c>
      <c r="AE37" s="1">
        <f t="shared" si="18"/>
        <v>0</v>
      </c>
      <c r="AF37" s="1">
        <f t="shared" si="3"/>
        <v>0</v>
      </c>
      <c r="AG37" s="1">
        <f t="shared" si="4"/>
        <v>0</v>
      </c>
      <c r="AH37" s="1">
        <f t="shared" si="5"/>
        <v>0</v>
      </c>
      <c r="AI37" s="1">
        <f t="shared" si="6"/>
        <v>1</v>
      </c>
    </row>
    <row r="38" spans="1:35" ht="14.25" customHeight="1" x14ac:dyDescent="0.25">
      <c r="A38" s="34">
        <v>0</v>
      </c>
      <c r="B38" s="34">
        <v>1</v>
      </c>
      <c r="C38" s="34">
        <v>2</v>
      </c>
      <c r="D38" s="39" t="s">
        <v>1769</v>
      </c>
      <c r="E38" s="39" t="s">
        <v>156</v>
      </c>
      <c r="F38" s="39" t="s">
        <v>1770</v>
      </c>
      <c r="G38" s="39"/>
      <c r="H38" s="39" t="s">
        <v>1771</v>
      </c>
      <c r="I38" s="40" t="s">
        <v>1772</v>
      </c>
      <c r="J38" s="34">
        <v>18</v>
      </c>
      <c r="K38" s="36" t="s">
        <v>707</v>
      </c>
      <c r="L38" s="36">
        <v>55</v>
      </c>
      <c r="M38" s="37" t="s">
        <v>1484</v>
      </c>
      <c r="N38" s="37" t="s">
        <v>1740</v>
      </c>
      <c r="O38" s="38">
        <v>1</v>
      </c>
      <c r="P38" s="38">
        <v>1</v>
      </c>
      <c r="Q38" s="39"/>
      <c r="S38" s="1">
        <f t="shared" si="7"/>
        <v>0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1</v>
      </c>
      <c r="AE38" s="1">
        <f t="shared" si="18"/>
        <v>0</v>
      </c>
      <c r="AF38" s="1">
        <f t="shared" si="3"/>
        <v>1</v>
      </c>
      <c r="AG38" s="1">
        <f t="shared" si="4"/>
        <v>0</v>
      </c>
      <c r="AH38" s="1">
        <f t="shared" si="5"/>
        <v>1</v>
      </c>
      <c r="AI38" s="1">
        <f t="shared" si="6"/>
        <v>0</v>
      </c>
    </row>
    <row r="39" spans="1:35" ht="14.25" customHeight="1" x14ac:dyDescent="0.25">
      <c r="A39" s="34">
        <v>0</v>
      </c>
      <c r="B39" s="34">
        <v>1</v>
      </c>
      <c r="C39" s="34">
        <v>2</v>
      </c>
      <c r="D39" s="39" t="s">
        <v>601</v>
      </c>
      <c r="E39" s="39" t="s">
        <v>176</v>
      </c>
      <c r="F39" s="39" t="s">
        <v>602</v>
      </c>
      <c r="G39" s="39" t="s">
        <v>575</v>
      </c>
      <c r="H39" s="39" t="s">
        <v>355</v>
      </c>
      <c r="I39" s="40" t="s">
        <v>603</v>
      </c>
      <c r="J39" s="34">
        <v>1</v>
      </c>
      <c r="K39" s="36" t="s">
        <v>960</v>
      </c>
      <c r="L39" s="36" t="s">
        <v>1710</v>
      </c>
      <c r="M39" s="37" t="s">
        <v>1389</v>
      </c>
      <c r="N39" s="37" t="s">
        <v>1755</v>
      </c>
      <c r="O39" s="38">
        <v>1</v>
      </c>
      <c r="P39" s="38"/>
      <c r="Q39" s="39"/>
      <c r="S39" s="1">
        <f t="shared" si="7"/>
        <v>1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0</v>
      </c>
      <c r="AE39" s="1">
        <f t="shared" si="18"/>
        <v>1</v>
      </c>
      <c r="AF39" s="1">
        <f t="shared" si="3"/>
        <v>0</v>
      </c>
      <c r="AG39" s="1">
        <f t="shared" si="4"/>
        <v>1</v>
      </c>
      <c r="AH39" s="1">
        <f t="shared" si="5"/>
        <v>0</v>
      </c>
      <c r="AI39" s="1">
        <f t="shared" si="6"/>
        <v>1</v>
      </c>
    </row>
    <row r="40" spans="1:35" ht="14.25" customHeight="1" x14ac:dyDescent="0.25">
      <c r="A40" s="34">
        <v>0</v>
      </c>
      <c r="B40" s="34">
        <v>1</v>
      </c>
      <c r="C40" s="34">
        <v>2</v>
      </c>
      <c r="D40" s="39" t="s">
        <v>1758</v>
      </c>
      <c r="E40" s="39" t="s">
        <v>1759</v>
      </c>
      <c r="F40" s="39" t="s">
        <v>1760</v>
      </c>
      <c r="G40" s="39" t="s">
        <v>322</v>
      </c>
      <c r="H40" s="39" t="s">
        <v>355</v>
      </c>
      <c r="I40" s="40" t="s">
        <v>1761</v>
      </c>
      <c r="J40" s="34">
        <v>99</v>
      </c>
      <c r="K40" s="36" t="s">
        <v>707</v>
      </c>
      <c r="L40" s="36"/>
      <c r="M40" s="37"/>
      <c r="N40" s="37" t="s">
        <v>1740</v>
      </c>
      <c r="O40" s="38">
        <v>1</v>
      </c>
      <c r="P40" s="38">
        <v>1</v>
      </c>
      <c r="Q40" s="39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0</v>
      </c>
      <c r="AA40" s="1">
        <f t="shared" si="15"/>
        <v>0</v>
      </c>
      <c r="AB40" s="1">
        <f t="shared" si="16"/>
        <v>0</v>
      </c>
      <c r="AD40" s="1">
        <f t="shared" si="17"/>
        <v>1</v>
      </c>
      <c r="AE40" s="1">
        <f t="shared" si="18"/>
        <v>0</v>
      </c>
      <c r="AF40" s="1">
        <f t="shared" si="3"/>
        <v>1</v>
      </c>
      <c r="AG40" s="1">
        <f t="shared" si="4"/>
        <v>0</v>
      </c>
      <c r="AH40" s="1">
        <f t="shared" si="5"/>
        <v>1</v>
      </c>
      <c r="AI40" s="1">
        <f t="shared" si="6"/>
        <v>0</v>
      </c>
    </row>
    <row r="41" spans="1:35" ht="14.25" customHeight="1" x14ac:dyDescent="0.25">
      <c r="A41" s="47">
        <v>0</v>
      </c>
      <c r="B41" s="47">
        <v>1</v>
      </c>
      <c r="C41" s="47">
        <v>2</v>
      </c>
      <c r="D41" s="48" t="s">
        <v>644</v>
      </c>
      <c r="E41" s="48" t="s">
        <v>176</v>
      </c>
      <c r="F41" s="48" t="s">
        <v>645</v>
      </c>
      <c r="G41" s="48" t="s">
        <v>221</v>
      </c>
      <c r="H41" s="48" t="s">
        <v>355</v>
      </c>
      <c r="I41" s="47" t="s">
        <v>1115</v>
      </c>
      <c r="J41" s="47">
        <v>8</v>
      </c>
      <c r="K41" s="49" t="s">
        <v>960</v>
      </c>
      <c r="L41" s="49" t="s">
        <v>1707</v>
      </c>
      <c r="M41" s="50" t="s">
        <v>1384</v>
      </c>
      <c r="N41" s="50" t="s">
        <v>1744</v>
      </c>
      <c r="O41" s="51"/>
      <c r="P41" s="51"/>
      <c r="Q41" s="48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1</v>
      </c>
      <c r="AA41" s="1">
        <f t="shared" si="15"/>
        <v>0</v>
      </c>
      <c r="AB41" s="1">
        <f t="shared" si="16"/>
        <v>0</v>
      </c>
      <c r="AD41" s="1">
        <f t="shared" si="17"/>
        <v>0</v>
      </c>
      <c r="AE41" s="1">
        <f t="shared" si="18"/>
        <v>0</v>
      </c>
      <c r="AF41" s="1">
        <f t="shared" si="3"/>
        <v>0</v>
      </c>
      <c r="AG41" s="1">
        <f t="shared" si="4"/>
        <v>0</v>
      </c>
      <c r="AH41" s="1">
        <f t="shared" si="5"/>
        <v>0</v>
      </c>
      <c r="AI41" s="1">
        <f t="shared" si="6"/>
        <v>1</v>
      </c>
    </row>
    <row r="42" spans="1:35" ht="14.25" customHeight="1" x14ac:dyDescent="0.25">
      <c r="A42" s="34">
        <v>0</v>
      </c>
      <c r="B42" s="34">
        <v>1</v>
      </c>
      <c r="C42" s="34">
        <v>2</v>
      </c>
      <c r="D42" s="39" t="s">
        <v>1519</v>
      </c>
      <c r="E42" s="39" t="s">
        <v>176</v>
      </c>
      <c r="F42" s="39" t="s">
        <v>1667</v>
      </c>
      <c r="G42" s="39" t="s">
        <v>1521</v>
      </c>
      <c r="H42" s="39" t="s">
        <v>355</v>
      </c>
      <c r="I42" s="40" t="s">
        <v>1520</v>
      </c>
      <c r="J42" s="34">
        <v>99</v>
      </c>
      <c r="K42" s="36" t="s">
        <v>961</v>
      </c>
      <c r="L42" s="36" t="s">
        <v>39</v>
      </c>
      <c r="M42" s="37" t="s">
        <v>39</v>
      </c>
      <c r="N42" s="37" t="s">
        <v>1734</v>
      </c>
      <c r="O42" s="38">
        <v>1</v>
      </c>
      <c r="P42" s="38">
        <v>1</v>
      </c>
      <c r="Q42" s="39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1</v>
      </c>
      <c r="AE42" s="1">
        <f t="shared" si="18"/>
        <v>0</v>
      </c>
      <c r="AF42" s="1">
        <f t="shared" si="3"/>
        <v>1</v>
      </c>
      <c r="AG42" s="1">
        <f t="shared" si="4"/>
        <v>0</v>
      </c>
      <c r="AH42" s="1">
        <f t="shared" si="5"/>
        <v>1</v>
      </c>
      <c r="AI42" s="1">
        <f t="shared" si="6"/>
        <v>0</v>
      </c>
    </row>
    <row r="43" spans="1:35" ht="14.25" customHeight="1" x14ac:dyDescent="0.25">
      <c r="A43" s="34">
        <v>0</v>
      </c>
      <c r="B43" s="34">
        <v>1</v>
      </c>
      <c r="C43" s="34">
        <v>2</v>
      </c>
      <c r="D43" s="35" t="s">
        <v>884</v>
      </c>
      <c r="E43" s="35" t="s">
        <v>175</v>
      </c>
      <c r="F43" s="35" t="s">
        <v>885</v>
      </c>
      <c r="G43" s="35" t="s">
        <v>39</v>
      </c>
      <c r="H43" s="35" t="s">
        <v>376</v>
      </c>
      <c r="I43" s="34" t="s">
        <v>886</v>
      </c>
      <c r="J43" s="34">
        <v>12</v>
      </c>
      <c r="K43" s="36" t="s">
        <v>706</v>
      </c>
      <c r="L43" s="36" t="s">
        <v>1711</v>
      </c>
      <c r="M43" s="37" t="s">
        <v>1391</v>
      </c>
      <c r="N43" s="37" t="s">
        <v>1832</v>
      </c>
      <c r="O43" s="38">
        <v>1</v>
      </c>
      <c r="P43" s="38"/>
      <c r="Q43" s="3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0</v>
      </c>
      <c r="AB43" s="1">
        <f t="shared" si="16"/>
        <v>0</v>
      </c>
      <c r="AD43" s="1">
        <f t="shared" si="17"/>
        <v>0</v>
      </c>
      <c r="AE43" s="1">
        <f t="shared" si="18"/>
        <v>1</v>
      </c>
      <c r="AF43" s="1">
        <f t="shared" si="3"/>
        <v>0</v>
      </c>
      <c r="AG43" s="1">
        <f t="shared" si="4"/>
        <v>1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7">
        <v>0</v>
      </c>
      <c r="B44" s="47">
        <v>1</v>
      </c>
      <c r="C44" s="47">
        <v>2</v>
      </c>
      <c r="D44" s="48" t="s">
        <v>1822</v>
      </c>
      <c r="E44" s="48" t="s">
        <v>176</v>
      </c>
      <c r="F44" s="48" t="s">
        <v>1823</v>
      </c>
      <c r="G44" s="48" t="s">
        <v>195</v>
      </c>
      <c r="H44" s="48" t="s">
        <v>355</v>
      </c>
      <c r="I44" s="47" t="s">
        <v>1824</v>
      </c>
      <c r="J44" s="47">
        <v>9</v>
      </c>
      <c r="K44" s="49" t="s">
        <v>707</v>
      </c>
      <c r="L44" s="49">
        <v>60</v>
      </c>
      <c r="M44" s="50" t="s">
        <v>1825</v>
      </c>
      <c r="N44" s="50" t="s">
        <v>1816</v>
      </c>
      <c r="O44" s="51"/>
      <c r="P44" s="51"/>
      <c r="Q44" s="48"/>
      <c r="S44" s="1">
        <f t="shared" si="7"/>
        <v>0</v>
      </c>
      <c r="T44" s="1">
        <f t="shared" si="8"/>
        <v>0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1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47">
        <v>0</v>
      </c>
      <c r="B45" s="47">
        <v>1</v>
      </c>
      <c r="C45" s="47">
        <v>2</v>
      </c>
      <c r="D45" s="48" t="s">
        <v>139</v>
      </c>
      <c r="E45" s="48" t="s">
        <v>176</v>
      </c>
      <c r="F45" s="68" t="s">
        <v>1886</v>
      </c>
      <c r="G45" s="48" t="s">
        <v>201</v>
      </c>
      <c r="H45" s="48" t="s">
        <v>355</v>
      </c>
      <c r="I45" s="47" t="s">
        <v>488</v>
      </c>
      <c r="J45" s="47">
        <v>2</v>
      </c>
      <c r="K45" s="49" t="s">
        <v>960</v>
      </c>
      <c r="L45" s="49" t="s">
        <v>697</v>
      </c>
      <c r="M45" s="50" t="s">
        <v>695</v>
      </c>
      <c r="N45" s="50" t="s">
        <v>1745</v>
      </c>
      <c r="O45" s="51"/>
      <c r="P45" s="51"/>
      <c r="Q45" s="68" t="s">
        <v>1914</v>
      </c>
      <c r="S45" s="1">
        <f t="shared" si="7"/>
        <v>0</v>
      </c>
      <c r="T45" s="1">
        <f t="shared" si="8"/>
        <v>1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0</v>
      </c>
      <c r="AE45" s="1">
        <f t="shared" si="18"/>
        <v>0</v>
      </c>
      <c r="AF45" s="1">
        <f t="shared" si="3"/>
        <v>0</v>
      </c>
      <c r="AG45" s="1">
        <f t="shared" si="4"/>
        <v>0</v>
      </c>
      <c r="AH45" s="1">
        <f t="shared" si="5"/>
        <v>0</v>
      </c>
      <c r="AI45" s="1">
        <f t="shared" si="6"/>
        <v>1</v>
      </c>
    </row>
    <row r="46" spans="1:35" ht="14.25" customHeight="1" x14ac:dyDescent="0.25">
      <c r="A46" s="34">
        <v>0</v>
      </c>
      <c r="B46" s="34">
        <v>1</v>
      </c>
      <c r="C46" s="34">
        <v>2</v>
      </c>
      <c r="D46" s="35" t="s">
        <v>842</v>
      </c>
      <c r="E46" s="35" t="s">
        <v>176</v>
      </c>
      <c r="F46" s="35" t="s">
        <v>844</v>
      </c>
      <c r="G46" s="35" t="s">
        <v>39</v>
      </c>
      <c r="H46" s="35" t="s">
        <v>355</v>
      </c>
      <c r="I46" s="34" t="s">
        <v>843</v>
      </c>
      <c r="J46" s="34">
        <v>99</v>
      </c>
      <c r="K46" s="36" t="s">
        <v>966</v>
      </c>
      <c r="L46" s="36" t="s">
        <v>39</v>
      </c>
      <c r="M46" s="37" t="s">
        <v>39</v>
      </c>
      <c r="N46" s="37" t="s">
        <v>1740</v>
      </c>
      <c r="O46" s="38">
        <v>1</v>
      </c>
      <c r="P46" s="38">
        <v>1</v>
      </c>
      <c r="Q46" s="3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1</v>
      </c>
      <c r="AE46" s="1">
        <f t="shared" si="18"/>
        <v>0</v>
      </c>
      <c r="AF46" s="1">
        <f t="shared" si="3"/>
        <v>1</v>
      </c>
      <c r="AG46" s="1">
        <f t="shared" si="4"/>
        <v>0</v>
      </c>
      <c r="AH46" s="1">
        <f t="shared" si="5"/>
        <v>1</v>
      </c>
      <c r="AI46" s="1">
        <f t="shared" si="6"/>
        <v>0</v>
      </c>
    </row>
    <row r="47" spans="1:35" ht="14.25" customHeight="1" x14ac:dyDescent="0.25">
      <c r="A47" s="47">
        <v>0</v>
      </c>
      <c r="B47" s="47">
        <v>1</v>
      </c>
      <c r="C47" s="47">
        <v>2</v>
      </c>
      <c r="D47" s="48" t="s">
        <v>919</v>
      </c>
      <c r="E47" s="48" t="s">
        <v>176</v>
      </c>
      <c r="F47" s="48" t="s">
        <v>787</v>
      </c>
      <c r="G47" s="48" t="s">
        <v>39</v>
      </c>
      <c r="H47" s="48" t="s">
        <v>376</v>
      </c>
      <c r="I47" s="47" t="s">
        <v>788</v>
      </c>
      <c r="J47" s="47">
        <v>12</v>
      </c>
      <c r="K47" s="49" t="s">
        <v>726</v>
      </c>
      <c r="L47" s="49" t="s">
        <v>1706</v>
      </c>
      <c r="M47" s="50" t="s">
        <v>1123</v>
      </c>
      <c r="N47" s="50" t="s">
        <v>1809</v>
      </c>
      <c r="O47" s="51"/>
      <c r="P47" s="51"/>
      <c r="Q47" s="48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0</v>
      </c>
      <c r="AI47" s="1">
        <f t="shared" si="6"/>
        <v>1</v>
      </c>
    </row>
    <row r="48" spans="1:35" ht="14.25" customHeight="1" x14ac:dyDescent="0.25">
      <c r="A48" s="41">
        <v>0</v>
      </c>
      <c r="B48" s="41">
        <v>1</v>
      </c>
      <c r="C48" s="41">
        <v>2</v>
      </c>
      <c r="D48" s="42" t="s">
        <v>1642</v>
      </c>
      <c r="E48" s="42" t="s">
        <v>175</v>
      </c>
      <c r="F48" s="42" t="s">
        <v>1668</v>
      </c>
      <c r="G48" s="42" t="s">
        <v>252</v>
      </c>
      <c r="H48" s="42" t="s">
        <v>355</v>
      </c>
      <c r="I48" s="41" t="s">
        <v>1570</v>
      </c>
      <c r="J48" s="41">
        <v>99</v>
      </c>
      <c r="K48" s="43" t="s">
        <v>961</v>
      </c>
      <c r="L48" s="43" t="s">
        <v>39</v>
      </c>
      <c r="M48" s="44" t="s">
        <v>39</v>
      </c>
      <c r="N48" s="45"/>
      <c r="O48" s="46"/>
      <c r="P48" s="46">
        <v>1</v>
      </c>
      <c r="Q48" s="42"/>
      <c r="S48" s="1">
        <f t="shared" si="7"/>
        <v>0</v>
      </c>
      <c r="T48" s="1">
        <f t="shared" si="8"/>
        <v>0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0</v>
      </c>
      <c r="AF48" s="1">
        <f t="shared" si="3"/>
        <v>0</v>
      </c>
      <c r="AG48" s="1">
        <f t="shared" si="4"/>
        <v>0</v>
      </c>
      <c r="AH48" s="1">
        <f t="shared" si="5"/>
        <v>1</v>
      </c>
      <c r="AI48" s="1">
        <f t="shared" si="6"/>
        <v>0</v>
      </c>
    </row>
    <row r="49" spans="1:35" ht="14.25" customHeight="1" x14ac:dyDescent="0.25">
      <c r="A49" s="47">
        <v>0</v>
      </c>
      <c r="B49" s="47">
        <v>1</v>
      </c>
      <c r="C49" s="47">
        <v>2</v>
      </c>
      <c r="D49" s="48" t="s">
        <v>1538</v>
      </c>
      <c r="E49" s="48" t="s">
        <v>1656</v>
      </c>
      <c r="F49" s="48" t="s">
        <v>1539</v>
      </c>
      <c r="G49" s="48" t="s">
        <v>201</v>
      </c>
      <c r="H49" s="48" t="s">
        <v>355</v>
      </c>
      <c r="I49" s="47" t="s">
        <v>1540</v>
      </c>
      <c r="J49" s="47">
        <v>2</v>
      </c>
      <c r="K49" s="49" t="s">
        <v>960</v>
      </c>
      <c r="L49" s="49">
        <v>70</v>
      </c>
      <c r="M49" s="50" t="s">
        <v>39</v>
      </c>
      <c r="N49" s="50" t="s">
        <v>1747</v>
      </c>
      <c r="O49" s="51"/>
      <c r="P49" s="51"/>
      <c r="Q49" s="48"/>
      <c r="S49" s="1">
        <f t="shared" si="7"/>
        <v>0</v>
      </c>
      <c r="T49" s="1">
        <f t="shared" si="8"/>
        <v>1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0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47">
        <v>0</v>
      </c>
      <c r="B50" s="47">
        <v>1</v>
      </c>
      <c r="C50" s="47">
        <v>2</v>
      </c>
      <c r="D50" s="48" t="s">
        <v>1474</v>
      </c>
      <c r="E50" s="48" t="s">
        <v>1657</v>
      </c>
      <c r="F50" s="48" t="s">
        <v>1473</v>
      </c>
      <c r="G50" s="48" t="s">
        <v>221</v>
      </c>
      <c r="H50" s="48" t="s">
        <v>355</v>
      </c>
      <c r="I50" s="47" t="s">
        <v>1694</v>
      </c>
      <c r="J50" s="47">
        <v>8</v>
      </c>
      <c r="K50" s="49" t="s">
        <v>706</v>
      </c>
      <c r="L50" s="49">
        <v>70</v>
      </c>
      <c r="M50" s="50" t="s">
        <v>39</v>
      </c>
      <c r="N50" s="50" t="s">
        <v>1744</v>
      </c>
      <c r="O50" s="51"/>
      <c r="P50" s="51"/>
      <c r="Q50" s="48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1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0</v>
      </c>
      <c r="AF50" s="1">
        <f t="shared" si="3"/>
        <v>0</v>
      </c>
      <c r="AG50" s="1">
        <f t="shared" si="4"/>
        <v>0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34">
        <v>0</v>
      </c>
      <c r="B51" s="34">
        <v>1</v>
      </c>
      <c r="C51" s="34">
        <v>2</v>
      </c>
      <c r="D51" s="35" t="s">
        <v>815</v>
      </c>
      <c r="E51" s="35" t="s">
        <v>176</v>
      </c>
      <c r="F51" s="35" t="s">
        <v>816</v>
      </c>
      <c r="G51" s="35" t="s">
        <v>39</v>
      </c>
      <c r="H51" s="35" t="s">
        <v>817</v>
      </c>
      <c r="I51" s="34" t="s">
        <v>818</v>
      </c>
      <c r="J51" s="34">
        <v>11</v>
      </c>
      <c r="K51" s="36" t="s">
        <v>707</v>
      </c>
      <c r="L51" s="36">
        <v>50</v>
      </c>
      <c r="M51" s="37" t="s">
        <v>1123</v>
      </c>
      <c r="N51" s="37" t="s">
        <v>1953</v>
      </c>
      <c r="O51" s="38">
        <v>1</v>
      </c>
      <c r="P51" s="38"/>
      <c r="Q51" s="35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1</v>
      </c>
      <c r="AF51" s="1">
        <f t="shared" si="3"/>
        <v>0</v>
      </c>
      <c r="AG51" s="1">
        <f t="shared" si="4"/>
        <v>1</v>
      </c>
      <c r="AH51" s="1">
        <f t="shared" si="5"/>
        <v>0</v>
      </c>
      <c r="AI51" s="1">
        <f t="shared" si="6"/>
        <v>1</v>
      </c>
    </row>
    <row r="52" spans="1:35" ht="14.25" customHeight="1" x14ac:dyDescent="0.25">
      <c r="A52" s="15">
        <v>0</v>
      </c>
      <c r="B52" s="15">
        <v>1</v>
      </c>
      <c r="C52" s="15">
        <v>2</v>
      </c>
      <c r="D52" s="16" t="s">
        <v>1478</v>
      </c>
      <c r="E52" s="16"/>
      <c r="F52" s="16" t="s">
        <v>1479</v>
      </c>
      <c r="G52" s="16" t="s">
        <v>1480</v>
      </c>
      <c r="H52" s="16" t="s">
        <v>355</v>
      </c>
      <c r="I52" s="15" t="s">
        <v>1481</v>
      </c>
      <c r="J52" s="15">
        <v>99</v>
      </c>
      <c r="K52" s="10" t="s">
        <v>707</v>
      </c>
      <c r="L52" s="10">
        <v>35</v>
      </c>
      <c r="M52" s="19" t="s">
        <v>1486</v>
      </c>
      <c r="N52" s="19"/>
      <c r="Q52" s="16"/>
      <c r="S52" s="1">
        <f t="shared" si="7"/>
        <v>0</v>
      </c>
      <c r="T52" s="1">
        <f t="shared" si="8"/>
        <v>0</v>
      </c>
      <c r="U52" s="1">
        <f t="shared" si="9"/>
        <v>0</v>
      </c>
      <c r="V52" s="1">
        <f t="shared" si="10"/>
        <v>0</v>
      </c>
      <c r="W52" s="1">
        <f t="shared" si="11"/>
        <v>0</v>
      </c>
      <c r="X52" s="1">
        <f t="shared" si="12"/>
        <v>0</v>
      </c>
      <c r="Y52" s="1">
        <f t="shared" si="13"/>
        <v>0</v>
      </c>
      <c r="Z52" s="1">
        <f t="shared" si="14"/>
        <v>0</v>
      </c>
      <c r="AA52" s="1">
        <f t="shared" si="15"/>
        <v>0</v>
      </c>
      <c r="AB52" s="1">
        <f t="shared" si="16"/>
        <v>0</v>
      </c>
      <c r="AD52" s="1">
        <f t="shared" si="17"/>
        <v>0</v>
      </c>
      <c r="AE52" s="1">
        <f t="shared" si="18"/>
        <v>0</v>
      </c>
      <c r="AF52" s="1">
        <f t="shared" si="3"/>
        <v>0</v>
      </c>
      <c r="AG52" s="1">
        <f t="shared" si="4"/>
        <v>0</v>
      </c>
      <c r="AH52" s="1">
        <f t="shared" si="5"/>
        <v>0</v>
      </c>
      <c r="AI52" s="1">
        <f t="shared" si="6"/>
        <v>1</v>
      </c>
    </row>
    <row r="53" spans="1:35" ht="14.25" customHeight="1" x14ac:dyDescent="0.25">
      <c r="A53" s="47">
        <v>0</v>
      </c>
      <c r="B53" s="47">
        <v>1</v>
      </c>
      <c r="C53" s="47">
        <v>2</v>
      </c>
      <c r="D53" s="48" t="s">
        <v>122</v>
      </c>
      <c r="E53" s="48" t="s">
        <v>176</v>
      </c>
      <c r="F53" s="48" t="s">
        <v>658</v>
      </c>
      <c r="G53" s="48" t="s">
        <v>39</v>
      </c>
      <c r="H53" s="48" t="s">
        <v>372</v>
      </c>
      <c r="I53" s="47" t="s">
        <v>470</v>
      </c>
      <c r="J53" s="47">
        <v>11</v>
      </c>
      <c r="K53" s="49" t="s">
        <v>707</v>
      </c>
      <c r="L53" s="49">
        <v>40</v>
      </c>
      <c r="M53" s="50" t="s">
        <v>695</v>
      </c>
      <c r="N53" s="50" t="s">
        <v>1809</v>
      </c>
      <c r="O53" s="51"/>
      <c r="P53" s="51"/>
      <c r="Q53" s="48"/>
      <c r="S53" s="1">
        <f t="shared" si="7"/>
        <v>0</v>
      </c>
      <c r="T53" s="1">
        <f t="shared" si="8"/>
        <v>0</v>
      </c>
      <c r="U53" s="1">
        <f t="shared" si="9"/>
        <v>0</v>
      </c>
      <c r="V53" s="1">
        <f t="shared" si="10"/>
        <v>0</v>
      </c>
      <c r="W53" s="1">
        <f t="shared" si="11"/>
        <v>0</v>
      </c>
      <c r="X53" s="1">
        <f t="shared" si="12"/>
        <v>0</v>
      </c>
      <c r="Y53" s="1">
        <f t="shared" si="13"/>
        <v>0</v>
      </c>
      <c r="Z53" s="1">
        <f t="shared" si="14"/>
        <v>0</v>
      </c>
      <c r="AA53" s="1">
        <f t="shared" si="15"/>
        <v>0</v>
      </c>
      <c r="AB53" s="1">
        <f t="shared" si="16"/>
        <v>0</v>
      </c>
      <c r="AD53" s="1">
        <f t="shared" si="17"/>
        <v>0</v>
      </c>
      <c r="AE53" s="1">
        <f t="shared" si="18"/>
        <v>0</v>
      </c>
      <c r="AF53" s="1">
        <f t="shared" si="3"/>
        <v>0</v>
      </c>
      <c r="AG53" s="1">
        <f t="shared" si="4"/>
        <v>0</v>
      </c>
      <c r="AH53" s="1">
        <f t="shared" si="5"/>
        <v>0</v>
      </c>
      <c r="AI53" s="1">
        <f t="shared" si="6"/>
        <v>1</v>
      </c>
    </row>
    <row r="54" spans="1:35" ht="14.25" customHeight="1" x14ac:dyDescent="0.25">
      <c r="A54" s="47">
        <v>0</v>
      </c>
      <c r="B54" s="47">
        <v>1</v>
      </c>
      <c r="C54" s="47">
        <v>2</v>
      </c>
      <c r="D54" s="48" t="s">
        <v>1058</v>
      </c>
      <c r="E54" s="48" t="s">
        <v>176</v>
      </c>
      <c r="F54" s="48" t="s">
        <v>1059</v>
      </c>
      <c r="G54" s="48" t="s">
        <v>1060</v>
      </c>
      <c r="H54" s="48" t="s">
        <v>355</v>
      </c>
      <c r="I54" s="47" t="s">
        <v>1061</v>
      </c>
      <c r="J54" s="47">
        <v>1</v>
      </c>
      <c r="K54" s="49" t="s">
        <v>726</v>
      </c>
      <c r="L54" s="49" t="s">
        <v>690</v>
      </c>
      <c r="M54" s="50" t="s">
        <v>1123</v>
      </c>
      <c r="N54" s="50" t="s">
        <v>1747</v>
      </c>
      <c r="O54" s="51"/>
      <c r="P54" s="51"/>
      <c r="Q54" s="68" t="s">
        <v>1917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0</v>
      </c>
      <c r="AF54" s="1">
        <f t="shared" si="3"/>
        <v>0</v>
      </c>
      <c r="AG54" s="1">
        <f t="shared" si="4"/>
        <v>0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47">
        <v>0</v>
      </c>
      <c r="B55" s="47">
        <v>1</v>
      </c>
      <c r="C55" s="47">
        <v>2</v>
      </c>
      <c r="D55" s="48" t="s">
        <v>1646</v>
      </c>
      <c r="E55" s="48" t="s">
        <v>176</v>
      </c>
      <c r="F55" s="48" t="s">
        <v>1672</v>
      </c>
      <c r="G55" s="48" t="s">
        <v>1673</v>
      </c>
      <c r="H55" s="48" t="s">
        <v>355</v>
      </c>
      <c r="I55" s="47" t="s">
        <v>1485</v>
      </c>
      <c r="J55" s="47">
        <v>99</v>
      </c>
      <c r="K55" s="49" t="s">
        <v>706</v>
      </c>
      <c r="L55" s="49">
        <v>45</v>
      </c>
      <c r="M55" s="50" t="s">
        <v>39</v>
      </c>
      <c r="N55" s="50" t="s">
        <v>1748</v>
      </c>
      <c r="O55" s="51"/>
      <c r="P55" s="51"/>
      <c r="Q55" s="48"/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0</v>
      </c>
      <c r="AF55" s="1">
        <f t="shared" si="3"/>
        <v>0</v>
      </c>
      <c r="AG55" s="1">
        <f t="shared" si="4"/>
        <v>0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7">
        <v>0</v>
      </c>
      <c r="B56" s="47">
        <v>1</v>
      </c>
      <c r="C56" s="47">
        <v>2</v>
      </c>
      <c r="D56" s="48" t="s">
        <v>649</v>
      </c>
      <c r="E56" s="48" t="s">
        <v>176</v>
      </c>
      <c r="F56" s="48" t="s">
        <v>604</v>
      </c>
      <c r="G56" s="48" t="s">
        <v>597</v>
      </c>
      <c r="H56" s="48" t="s">
        <v>355</v>
      </c>
      <c r="I56" s="47" t="s">
        <v>680</v>
      </c>
      <c r="J56" s="47">
        <v>1</v>
      </c>
      <c r="K56" s="49" t="s">
        <v>706</v>
      </c>
      <c r="L56" s="49" t="s">
        <v>1707</v>
      </c>
      <c r="M56" s="50" t="s">
        <v>1392</v>
      </c>
      <c r="N56" s="50" t="s">
        <v>1742</v>
      </c>
      <c r="O56" s="51"/>
      <c r="P56" s="51"/>
      <c r="Q56" s="48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1197</v>
      </c>
      <c r="E57" s="16" t="s">
        <v>175</v>
      </c>
      <c r="F57" s="16" t="s">
        <v>1198</v>
      </c>
      <c r="G57" s="16" t="s">
        <v>39</v>
      </c>
      <c r="H57" s="16" t="s">
        <v>1200</v>
      </c>
      <c r="I57" s="15" t="s">
        <v>1199</v>
      </c>
      <c r="J57" s="15">
        <v>17</v>
      </c>
      <c r="K57" s="10" t="s">
        <v>707</v>
      </c>
      <c r="L57" s="10" t="s">
        <v>1393</v>
      </c>
      <c r="M57" s="19" t="s">
        <v>1394</v>
      </c>
      <c r="N57" s="17"/>
      <c r="Q57" s="16" t="s">
        <v>1893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1208</v>
      </c>
      <c r="E58" s="16" t="s">
        <v>175</v>
      </c>
      <c r="F58" s="16" t="s">
        <v>1209</v>
      </c>
      <c r="G58" s="16" t="s">
        <v>39</v>
      </c>
      <c r="H58" s="16" t="s">
        <v>1210</v>
      </c>
      <c r="I58" s="15" t="s">
        <v>1211</v>
      </c>
      <c r="J58" s="15">
        <v>18</v>
      </c>
      <c r="K58" s="10" t="s">
        <v>961</v>
      </c>
      <c r="L58" s="10" t="s">
        <v>699</v>
      </c>
      <c r="M58" s="19" t="s">
        <v>974</v>
      </c>
      <c r="N58" s="17"/>
      <c r="Q58" s="16" t="s">
        <v>1892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1033</v>
      </c>
      <c r="E59" s="16" t="s">
        <v>176</v>
      </c>
      <c r="F59" s="16" t="s">
        <v>1035</v>
      </c>
      <c r="G59" s="16" t="s">
        <v>39</v>
      </c>
      <c r="H59" s="16" t="s">
        <v>366</v>
      </c>
      <c r="I59" s="15" t="s">
        <v>1034</v>
      </c>
      <c r="J59" s="15">
        <v>18</v>
      </c>
      <c r="K59" s="10" t="s">
        <v>706</v>
      </c>
      <c r="L59" s="10" t="s">
        <v>1147</v>
      </c>
      <c r="M59" s="19" t="s">
        <v>695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4">
        <v>0</v>
      </c>
      <c r="B60" s="34">
        <v>1</v>
      </c>
      <c r="C60" s="34">
        <v>2</v>
      </c>
      <c r="D60" s="35" t="s">
        <v>1599</v>
      </c>
      <c r="E60" s="35" t="s">
        <v>176</v>
      </c>
      <c r="F60" s="35" t="s">
        <v>1600</v>
      </c>
      <c r="G60" s="35" t="s">
        <v>1601</v>
      </c>
      <c r="H60" s="35" t="s">
        <v>355</v>
      </c>
      <c r="I60" s="34" t="s">
        <v>1494</v>
      </c>
      <c r="J60" s="34">
        <v>99</v>
      </c>
      <c r="K60" s="36" t="s">
        <v>706</v>
      </c>
      <c r="L60" s="36" t="s">
        <v>39</v>
      </c>
      <c r="M60" s="37" t="s">
        <v>39</v>
      </c>
      <c r="N60" s="37" t="s">
        <v>1734</v>
      </c>
      <c r="O60" s="38">
        <v>1</v>
      </c>
      <c r="P60" s="38">
        <v>1</v>
      </c>
      <c r="Q60" s="35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4">
        <v>0</v>
      </c>
      <c r="B61" s="34">
        <v>1</v>
      </c>
      <c r="C61" s="34">
        <v>2</v>
      </c>
      <c r="D61" s="35" t="s">
        <v>1627</v>
      </c>
      <c r="E61" s="35" t="s">
        <v>171</v>
      </c>
      <c r="F61" s="35" t="s">
        <v>1628</v>
      </c>
      <c r="G61" s="35" t="s">
        <v>39</v>
      </c>
      <c r="H61" s="35" t="s">
        <v>356</v>
      </c>
      <c r="I61" s="34" t="s">
        <v>1629</v>
      </c>
      <c r="J61" s="34">
        <v>11</v>
      </c>
      <c r="K61" s="36" t="s">
        <v>961</v>
      </c>
      <c r="L61" s="36" t="s">
        <v>39</v>
      </c>
      <c r="M61" s="37" t="s">
        <v>39</v>
      </c>
      <c r="N61" s="37" t="s">
        <v>1734</v>
      </c>
      <c r="O61" s="38">
        <v>1</v>
      </c>
      <c r="P61" s="38">
        <v>1</v>
      </c>
      <c r="Q61" s="39" t="s">
        <v>1912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41">
        <v>0</v>
      </c>
      <c r="B62" s="41">
        <v>1</v>
      </c>
      <c r="C62" s="41">
        <v>2</v>
      </c>
      <c r="D62" s="42" t="s">
        <v>1624</v>
      </c>
      <c r="E62" s="42" t="s">
        <v>175</v>
      </c>
      <c r="F62" s="42" t="s">
        <v>1625</v>
      </c>
      <c r="G62" s="42" t="s">
        <v>1490</v>
      </c>
      <c r="H62" s="42" t="s">
        <v>355</v>
      </c>
      <c r="I62" s="41" t="s">
        <v>1626</v>
      </c>
      <c r="J62" s="41">
        <v>99</v>
      </c>
      <c r="K62" s="43" t="s">
        <v>966</v>
      </c>
      <c r="L62" s="43" t="s">
        <v>39</v>
      </c>
      <c r="M62" s="44" t="s">
        <v>39</v>
      </c>
      <c r="N62" s="45"/>
      <c r="O62" s="46"/>
      <c r="P62" s="46">
        <v>1</v>
      </c>
      <c r="Q62" s="4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41">
        <v>0</v>
      </c>
      <c r="B63" s="41">
        <v>1</v>
      </c>
      <c r="C63" s="41">
        <v>2</v>
      </c>
      <c r="D63" s="42" t="s">
        <v>571</v>
      </c>
      <c r="E63" s="42" t="s">
        <v>581</v>
      </c>
      <c r="F63" s="42" t="s">
        <v>560</v>
      </c>
      <c r="G63" s="42" t="s">
        <v>263</v>
      </c>
      <c r="H63" s="42" t="s">
        <v>355</v>
      </c>
      <c r="I63" s="41" t="s">
        <v>561</v>
      </c>
      <c r="J63" s="41">
        <v>99</v>
      </c>
      <c r="K63" s="43" t="s">
        <v>960</v>
      </c>
      <c r="L63" s="43" t="s">
        <v>39</v>
      </c>
      <c r="M63" s="44" t="s">
        <v>39</v>
      </c>
      <c r="N63" s="45"/>
      <c r="O63" s="46"/>
      <c r="P63" s="46">
        <v>1</v>
      </c>
      <c r="Q63" s="4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0</v>
      </c>
      <c r="AE63" s="1">
        <f t="shared" si="18"/>
        <v>0</v>
      </c>
      <c r="AF63" s="1">
        <f t="shared" si="3"/>
        <v>0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4">
        <v>0</v>
      </c>
      <c r="B64" s="34">
        <v>1</v>
      </c>
      <c r="C64" s="34">
        <v>2</v>
      </c>
      <c r="D64" s="35" t="s">
        <v>803</v>
      </c>
      <c r="E64" s="35" t="s">
        <v>175</v>
      </c>
      <c r="F64" s="35" t="s">
        <v>805</v>
      </c>
      <c r="G64" s="35" t="s">
        <v>39</v>
      </c>
      <c r="H64" s="35" t="s">
        <v>804</v>
      </c>
      <c r="I64" s="34" t="s">
        <v>806</v>
      </c>
      <c r="J64" s="34">
        <v>14</v>
      </c>
      <c r="K64" s="36" t="s">
        <v>968</v>
      </c>
      <c r="L64" s="36" t="s">
        <v>1713</v>
      </c>
      <c r="M64" s="37" t="s">
        <v>1386</v>
      </c>
      <c r="N64" s="37" t="s">
        <v>1756</v>
      </c>
      <c r="O64" s="38">
        <v>1</v>
      </c>
      <c r="P64" s="38"/>
      <c r="Q64" s="35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1329</v>
      </c>
      <c r="E65" s="16" t="s">
        <v>176</v>
      </c>
      <c r="F65" s="16" t="s">
        <v>1353</v>
      </c>
      <c r="G65" s="16" t="s">
        <v>39</v>
      </c>
      <c r="H65" s="16" t="s">
        <v>364</v>
      </c>
      <c r="I65" s="15" t="s">
        <v>1148</v>
      </c>
      <c r="J65" s="15">
        <v>14</v>
      </c>
      <c r="K65" s="10" t="s">
        <v>726</v>
      </c>
      <c r="L65" s="10" t="s">
        <v>1706</v>
      </c>
      <c r="M65" s="19" t="s">
        <v>976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7">
        <v>0</v>
      </c>
      <c r="B66" s="47">
        <v>1</v>
      </c>
      <c r="C66" s="47">
        <v>2</v>
      </c>
      <c r="D66" s="48" t="s">
        <v>1522</v>
      </c>
      <c r="E66" s="48" t="s">
        <v>171</v>
      </c>
      <c r="F66" s="48" t="s">
        <v>1524</v>
      </c>
      <c r="G66" s="48" t="s">
        <v>1171</v>
      </c>
      <c r="H66" s="48" t="s">
        <v>355</v>
      </c>
      <c r="I66" s="47" t="s">
        <v>1523</v>
      </c>
      <c r="J66" s="47">
        <v>11</v>
      </c>
      <c r="K66" s="49" t="s">
        <v>726</v>
      </c>
      <c r="L66" s="49">
        <v>50</v>
      </c>
      <c r="M66" s="50" t="s">
        <v>39</v>
      </c>
      <c r="N66" s="50" t="s">
        <v>1816</v>
      </c>
      <c r="O66" s="51"/>
      <c r="P66" s="51"/>
      <c r="Q66" s="48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47">
        <v>0</v>
      </c>
      <c r="B67" s="47">
        <v>1</v>
      </c>
      <c r="C67" s="47">
        <v>2</v>
      </c>
      <c r="D67" s="48" t="s">
        <v>1141</v>
      </c>
      <c r="E67" s="48" t="s">
        <v>176</v>
      </c>
      <c r="F67" s="48" t="s">
        <v>1144</v>
      </c>
      <c r="G67" s="48" t="s">
        <v>39</v>
      </c>
      <c r="H67" s="48" t="s">
        <v>1142</v>
      </c>
      <c r="I67" s="47" t="s">
        <v>1143</v>
      </c>
      <c r="J67" s="47">
        <v>12</v>
      </c>
      <c r="K67" s="49" t="s">
        <v>707</v>
      </c>
      <c r="L67" s="49">
        <v>50</v>
      </c>
      <c r="M67" s="50" t="s">
        <v>39</v>
      </c>
      <c r="N67" s="50" t="s">
        <v>1741</v>
      </c>
      <c r="O67" s="51"/>
      <c r="P67" s="51"/>
      <c r="Q67" s="48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0</v>
      </c>
      <c r="AF67" s="1">
        <f t="shared" si="3"/>
        <v>0</v>
      </c>
      <c r="AG67" s="1">
        <f t="shared" si="4"/>
        <v>0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60">
        <v>0</v>
      </c>
      <c r="B68" s="60">
        <v>1</v>
      </c>
      <c r="C68" s="60">
        <v>2</v>
      </c>
      <c r="D68" s="61" t="s">
        <v>155</v>
      </c>
      <c r="E68" s="61" t="s">
        <v>172</v>
      </c>
      <c r="F68" s="61" t="s">
        <v>939</v>
      </c>
      <c r="G68" s="61" t="s">
        <v>187</v>
      </c>
      <c r="H68" s="61" t="s">
        <v>355</v>
      </c>
      <c r="I68" s="60" t="s">
        <v>503</v>
      </c>
      <c r="J68" s="60">
        <v>1</v>
      </c>
      <c r="K68" s="62" t="s">
        <v>964</v>
      </c>
      <c r="L68" s="62" t="s">
        <v>39</v>
      </c>
      <c r="M68" s="63" t="s">
        <v>39</v>
      </c>
      <c r="N68" s="64"/>
      <c r="O68" s="65"/>
      <c r="P68" s="65">
        <v>1</v>
      </c>
      <c r="Q68" s="61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4">
        <v>0</v>
      </c>
      <c r="B69" s="34">
        <v>1</v>
      </c>
      <c r="C69" s="34">
        <v>2</v>
      </c>
      <c r="D69" s="35" t="s">
        <v>1454</v>
      </c>
      <c r="E69" s="35" t="s">
        <v>176</v>
      </c>
      <c r="F69" s="35" t="s">
        <v>1451</v>
      </c>
      <c r="G69" s="35" t="s">
        <v>39</v>
      </c>
      <c r="H69" s="35" t="s">
        <v>355</v>
      </c>
      <c r="I69" s="34" t="s">
        <v>1452</v>
      </c>
      <c r="J69" s="34">
        <v>99</v>
      </c>
      <c r="K69" s="36" t="s">
        <v>706</v>
      </c>
      <c r="L69" s="36" t="s">
        <v>693</v>
      </c>
      <c r="M69" s="37" t="s">
        <v>1453</v>
      </c>
      <c r="N69" s="37" t="s">
        <v>1734</v>
      </c>
      <c r="O69" s="38">
        <v>1</v>
      </c>
      <c r="P69" s="38">
        <v>1</v>
      </c>
      <c r="Q69" s="35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41">
        <v>0</v>
      </c>
      <c r="B70" s="41">
        <v>1</v>
      </c>
      <c r="C70" s="41">
        <v>2</v>
      </c>
      <c r="D70" s="57" t="s">
        <v>819</v>
      </c>
      <c r="E70" s="42" t="s">
        <v>176</v>
      </c>
      <c r="F70" s="42" t="s">
        <v>940</v>
      </c>
      <c r="G70" s="42" t="s">
        <v>214</v>
      </c>
      <c r="H70" s="42" t="s">
        <v>355</v>
      </c>
      <c r="I70" s="41" t="s">
        <v>820</v>
      </c>
      <c r="J70" s="41">
        <v>1</v>
      </c>
      <c r="K70" s="43" t="s">
        <v>960</v>
      </c>
      <c r="L70" s="43" t="s">
        <v>39</v>
      </c>
      <c r="M70" s="44" t="s">
        <v>39</v>
      </c>
      <c r="N70" s="45"/>
      <c r="O70" s="46"/>
      <c r="P70" s="46">
        <v>1</v>
      </c>
      <c r="Q70" s="42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4">
        <v>0</v>
      </c>
      <c r="B71" s="34">
        <v>1</v>
      </c>
      <c r="C71" s="34">
        <v>2</v>
      </c>
      <c r="D71" s="35" t="s">
        <v>1330</v>
      </c>
      <c r="E71" s="35" t="s">
        <v>176</v>
      </c>
      <c r="F71" s="35" t="s">
        <v>1130</v>
      </c>
      <c r="G71" s="35" t="s">
        <v>39</v>
      </c>
      <c r="H71" s="35" t="s">
        <v>1129</v>
      </c>
      <c r="I71" s="34" t="s">
        <v>1128</v>
      </c>
      <c r="J71" s="34">
        <v>15</v>
      </c>
      <c r="K71" s="36" t="s">
        <v>961</v>
      </c>
      <c r="L71" s="36">
        <v>75</v>
      </c>
      <c r="M71" s="37" t="s">
        <v>1395</v>
      </c>
      <c r="N71" s="37" t="s">
        <v>1740</v>
      </c>
      <c r="O71" s="38">
        <v>1</v>
      </c>
      <c r="P71" s="38">
        <v>1</v>
      </c>
      <c r="Q71" s="35" t="s">
        <v>1994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25">
      <c r="A72" s="41">
        <v>0</v>
      </c>
      <c r="B72" s="41">
        <v>1</v>
      </c>
      <c r="C72" s="41">
        <v>2</v>
      </c>
      <c r="D72" s="42" t="s">
        <v>1051</v>
      </c>
      <c r="E72" s="42" t="s">
        <v>175</v>
      </c>
      <c r="F72" s="42" t="s">
        <v>1052</v>
      </c>
      <c r="G72" s="42" t="s">
        <v>630</v>
      </c>
      <c r="H72" s="42" t="s">
        <v>355</v>
      </c>
      <c r="I72" s="41" t="s">
        <v>1053</v>
      </c>
      <c r="J72" s="41">
        <v>99</v>
      </c>
      <c r="K72" s="43" t="s">
        <v>706</v>
      </c>
      <c r="L72" s="43" t="s">
        <v>39</v>
      </c>
      <c r="M72" s="44" t="s">
        <v>39</v>
      </c>
      <c r="N72" s="45"/>
      <c r="O72" s="46"/>
      <c r="P72" s="46">
        <v>1</v>
      </c>
      <c r="Q72" s="4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17"/>
        <v>0</v>
      </c>
      <c r="AE72" s="1">
        <f t="shared" si="18"/>
        <v>0</v>
      </c>
      <c r="AF72" s="1">
        <f t="shared" ref="AF72:AF136" si="19">+O72*P72*(1-A72)</f>
        <v>0</v>
      </c>
      <c r="AG72" s="1">
        <f t="shared" ref="AG72:AG136" si="20">O72*(1-P72)*(1-A72)</f>
        <v>0</v>
      </c>
      <c r="AH72" s="1">
        <f t="shared" ref="AH72:AH136" si="21">+P72*(1-A72)</f>
        <v>1</v>
      </c>
      <c r="AI72" s="1">
        <f t="shared" ref="AI72:AI136" si="22">+(1-A72)*(1-P72)</f>
        <v>0</v>
      </c>
    </row>
    <row r="73" spans="1:35" ht="14.25" customHeight="1" x14ac:dyDescent="0.25">
      <c r="A73" s="47">
        <v>0</v>
      </c>
      <c r="B73" s="47">
        <v>1</v>
      </c>
      <c r="C73" s="47">
        <v>2</v>
      </c>
      <c r="D73" s="48" t="s">
        <v>586</v>
      </c>
      <c r="E73" s="48" t="s">
        <v>175</v>
      </c>
      <c r="F73" s="48" t="s">
        <v>588</v>
      </c>
      <c r="G73" s="48" t="s">
        <v>39</v>
      </c>
      <c r="H73" s="48" t="s">
        <v>589</v>
      </c>
      <c r="I73" s="47" t="s">
        <v>590</v>
      </c>
      <c r="J73" s="47">
        <v>12</v>
      </c>
      <c r="K73" s="49" t="s">
        <v>964</v>
      </c>
      <c r="L73" s="49" t="s">
        <v>1719</v>
      </c>
      <c r="M73" s="50" t="s">
        <v>1386</v>
      </c>
      <c r="N73" s="50" t="s">
        <v>1745</v>
      </c>
      <c r="O73" s="51"/>
      <c r="P73" s="51"/>
      <c r="Q73" s="48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0</v>
      </c>
      <c r="AD73" s="1">
        <f t="shared" si="17"/>
        <v>0</v>
      </c>
      <c r="AE73" s="1">
        <f t="shared" si="18"/>
        <v>0</v>
      </c>
      <c r="AF73" s="1">
        <f t="shared" si="19"/>
        <v>0</v>
      </c>
      <c r="AG73" s="1">
        <f t="shared" si="20"/>
        <v>0</v>
      </c>
      <c r="AH73" s="1">
        <f t="shared" si="21"/>
        <v>0</v>
      </c>
      <c r="AI73" s="1">
        <f t="shared" si="22"/>
        <v>1</v>
      </c>
    </row>
    <row r="74" spans="1:35" ht="14.25" customHeight="1" x14ac:dyDescent="0.25">
      <c r="A74" s="34">
        <v>0</v>
      </c>
      <c r="B74" s="34">
        <v>1</v>
      </c>
      <c r="C74" s="34">
        <v>2</v>
      </c>
      <c r="D74" s="35" t="s">
        <v>1849</v>
      </c>
      <c r="E74" s="35" t="s">
        <v>175</v>
      </c>
      <c r="F74" s="35" t="s">
        <v>1850</v>
      </c>
      <c r="G74" s="35"/>
      <c r="H74" s="35" t="s">
        <v>1851</v>
      </c>
      <c r="I74" s="34" t="s">
        <v>1852</v>
      </c>
      <c r="J74" s="34">
        <v>14</v>
      </c>
      <c r="K74" s="36" t="s">
        <v>707</v>
      </c>
      <c r="L74" s="36">
        <v>75</v>
      </c>
      <c r="M74" s="37" t="s">
        <v>975</v>
      </c>
      <c r="N74" s="37" t="s">
        <v>1750</v>
      </c>
      <c r="O74" s="38">
        <v>1</v>
      </c>
      <c r="P74" s="38"/>
      <c r="Q74" s="35"/>
      <c r="S74" s="1">
        <f t="shared" ref="S74:S75" si="23">IF(J74=$S$7,1,0)</f>
        <v>0</v>
      </c>
      <c r="T74" s="1">
        <f t="shared" ref="T74:T75" si="24">IF(J74=$T$7,1,0)</f>
        <v>0</v>
      </c>
      <c r="U74" s="1">
        <f t="shared" ref="U74:U75" si="25">IF(J74=$U$7,1,0)</f>
        <v>0</v>
      </c>
      <c r="V74" s="1">
        <f t="shared" ref="V74:V75" si="26">IF(J74=$V$7,1,0)</f>
        <v>0</v>
      </c>
      <c r="W74" s="1">
        <f t="shared" ref="W74:W75" si="27">IF(J74=$W$7,1,0)</f>
        <v>0</v>
      </c>
      <c r="X74" s="1">
        <f t="shared" ref="X74:X75" si="28">IF(J74=$X$7,1,0)</f>
        <v>0</v>
      </c>
      <c r="Y74" s="1">
        <f t="shared" ref="Y74:Y75" si="29">IF(J74=$Y$7,1,0)</f>
        <v>0</v>
      </c>
      <c r="Z74" s="1">
        <f t="shared" ref="Z74:Z75" si="30">IF(J74=$Z$7,1,0)</f>
        <v>0</v>
      </c>
      <c r="AA74" s="1">
        <f t="shared" ref="AA74:AA75" si="31">IF(J74=$AA$7,1,0)</f>
        <v>0</v>
      </c>
      <c r="AB74" s="1">
        <f t="shared" ref="AB74:AB75" si="32">IF(J74=$AB$7,1,0)</f>
        <v>0</v>
      </c>
      <c r="AD74" s="1">
        <f t="shared" ref="AD74:AD75" si="33">+O74*P74</f>
        <v>0</v>
      </c>
      <c r="AE74" s="1">
        <f t="shared" ref="AE74:AE75" si="34">O74*(1-P74)</f>
        <v>1</v>
      </c>
      <c r="AF74" s="1">
        <f t="shared" si="19"/>
        <v>0</v>
      </c>
      <c r="AG74" s="1">
        <f t="shared" si="20"/>
        <v>1</v>
      </c>
      <c r="AH74" s="1">
        <f t="shared" si="21"/>
        <v>0</v>
      </c>
      <c r="AI74" s="1">
        <f t="shared" si="22"/>
        <v>1</v>
      </c>
    </row>
    <row r="75" spans="1:35" ht="14.25" customHeight="1" x14ac:dyDescent="0.25">
      <c r="A75" s="34">
        <v>0</v>
      </c>
      <c r="B75" s="34">
        <v>1</v>
      </c>
      <c r="C75" s="34">
        <v>2</v>
      </c>
      <c r="D75" s="39" t="s">
        <v>1731</v>
      </c>
      <c r="E75" s="35" t="s">
        <v>176</v>
      </c>
      <c r="F75" s="39" t="s">
        <v>1732</v>
      </c>
      <c r="G75" s="39" t="s">
        <v>208</v>
      </c>
      <c r="H75" s="39" t="s">
        <v>355</v>
      </c>
      <c r="I75" s="40" t="s">
        <v>1733</v>
      </c>
      <c r="J75" s="34"/>
      <c r="K75" s="36" t="s">
        <v>707</v>
      </c>
      <c r="L75" s="36"/>
      <c r="M75" s="37"/>
      <c r="N75" s="37" t="s">
        <v>1734</v>
      </c>
      <c r="O75" s="38">
        <v>1</v>
      </c>
      <c r="P75" s="38">
        <v>1</v>
      </c>
      <c r="Q75" s="39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19"/>
        <v>1</v>
      </c>
      <c r="AG75" s="1">
        <f t="shared" si="20"/>
        <v>0</v>
      </c>
      <c r="AH75" s="1">
        <f t="shared" si="21"/>
        <v>1</v>
      </c>
      <c r="AI75" s="1">
        <f t="shared" si="22"/>
        <v>0</v>
      </c>
    </row>
    <row r="76" spans="1:35" ht="14.25" customHeight="1" x14ac:dyDescent="0.25">
      <c r="A76" s="34">
        <v>0</v>
      </c>
      <c r="B76" s="34">
        <v>1</v>
      </c>
      <c r="C76" s="34">
        <v>2</v>
      </c>
      <c r="D76" s="39" t="s">
        <v>1062</v>
      </c>
      <c r="E76" s="35" t="s">
        <v>176</v>
      </c>
      <c r="F76" s="39" t="s">
        <v>1101</v>
      </c>
      <c r="G76" s="39" t="s">
        <v>39</v>
      </c>
      <c r="H76" s="39" t="s">
        <v>1063</v>
      </c>
      <c r="I76" s="40" t="s">
        <v>1167</v>
      </c>
      <c r="J76" s="34">
        <v>13</v>
      </c>
      <c r="K76" s="36" t="s">
        <v>706</v>
      </c>
      <c r="L76" s="36" t="s">
        <v>693</v>
      </c>
      <c r="M76" s="37" t="s">
        <v>1448</v>
      </c>
      <c r="N76" s="37" t="s">
        <v>1756</v>
      </c>
      <c r="O76" s="38">
        <v>1</v>
      </c>
      <c r="P76" s="38"/>
      <c r="Q76" s="39"/>
      <c r="S76" s="1">
        <f t="shared" ref="S76:S141" si="35">IF(J76=$S$7,1,0)</f>
        <v>0</v>
      </c>
      <c r="T76" s="1">
        <f t="shared" ref="T76:T141" si="36">IF(J76=$T$7,1,0)</f>
        <v>0</v>
      </c>
      <c r="U76" s="1">
        <f t="shared" ref="U76:U141" si="37">IF(J76=$U$7,1,0)</f>
        <v>0</v>
      </c>
      <c r="V76" s="1">
        <f t="shared" ref="V76:V141" si="38">IF(J76=$V$7,1,0)</f>
        <v>0</v>
      </c>
      <c r="W76" s="1">
        <f t="shared" ref="W76:W141" si="39">IF(J76=$W$7,1,0)</f>
        <v>0</v>
      </c>
      <c r="X76" s="1">
        <f t="shared" ref="X76:X141" si="40">IF(J76=$X$7,1,0)</f>
        <v>0</v>
      </c>
      <c r="Y76" s="1">
        <f t="shared" ref="Y76:Y141" si="41">IF(J76=$Y$7,1,0)</f>
        <v>0</v>
      </c>
      <c r="Z76" s="1">
        <f t="shared" ref="Z76:Z141" si="42">IF(J76=$Z$7,1,0)</f>
        <v>0</v>
      </c>
      <c r="AA76" s="1">
        <f t="shared" ref="AA76:AA141" si="43">IF(J76=$AA$7,1,0)</f>
        <v>0</v>
      </c>
      <c r="AB76" s="1">
        <f t="shared" ref="AB76:AB141" si="44">IF(J76=$AB$7,1,0)</f>
        <v>0</v>
      </c>
      <c r="AD76" s="1">
        <f t="shared" ref="AD76:AD141" si="45">+O76*P76</f>
        <v>0</v>
      </c>
      <c r="AE76" s="1">
        <f t="shared" ref="AE76:AE141" si="46">O76*(1-P76)</f>
        <v>1</v>
      </c>
      <c r="AF76" s="1">
        <f t="shared" si="19"/>
        <v>0</v>
      </c>
      <c r="AG76" s="1">
        <f t="shared" si="20"/>
        <v>1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4">
        <v>0</v>
      </c>
      <c r="B77" s="34">
        <v>1</v>
      </c>
      <c r="C77" s="34">
        <v>2</v>
      </c>
      <c r="D77" s="39" t="s">
        <v>1602</v>
      </c>
      <c r="E77" s="35" t="s">
        <v>176</v>
      </c>
      <c r="F77" s="39" t="s">
        <v>1603</v>
      </c>
      <c r="G77" s="39" t="s">
        <v>236</v>
      </c>
      <c r="H77" s="39" t="s">
        <v>355</v>
      </c>
      <c r="I77" s="40" t="s">
        <v>1604</v>
      </c>
      <c r="J77" s="34">
        <v>99</v>
      </c>
      <c r="K77" s="36" t="s">
        <v>960</v>
      </c>
      <c r="L77" s="36">
        <v>45</v>
      </c>
      <c r="M77" s="37" t="s">
        <v>39</v>
      </c>
      <c r="N77" s="37" t="s">
        <v>1796</v>
      </c>
      <c r="O77" s="38">
        <v>1</v>
      </c>
      <c r="P77" s="38"/>
      <c r="Q77" s="39"/>
      <c r="S77" s="1">
        <f t="shared" si="35"/>
        <v>0</v>
      </c>
      <c r="T77" s="1">
        <f t="shared" si="36"/>
        <v>0</v>
      </c>
      <c r="U77" s="1">
        <f t="shared" si="37"/>
        <v>0</v>
      </c>
      <c r="V77" s="1">
        <f t="shared" si="38"/>
        <v>0</v>
      </c>
      <c r="W77" s="1">
        <f t="shared" si="39"/>
        <v>0</v>
      </c>
      <c r="X77" s="1">
        <f t="shared" si="40"/>
        <v>0</v>
      </c>
      <c r="Y77" s="1">
        <f t="shared" si="41"/>
        <v>0</v>
      </c>
      <c r="Z77" s="1">
        <f t="shared" si="42"/>
        <v>0</v>
      </c>
      <c r="AA77" s="1">
        <f t="shared" si="43"/>
        <v>0</v>
      </c>
      <c r="AB77" s="1">
        <f t="shared" si="44"/>
        <v>0</v>
      </c>
      <c r="AD77" s="1">
        <f t="shared" si="45"/>
        <v>0</v>
      </c>
      <c r="AE77" s="1">
        <f t="shared" si="46"/>
        <v>1</v>
      </c>
      <c r="AF77" s="1">
        <f t="shared" si="19"/>
        <v>0</v>
      </c>
      <c r="AG77" s="1">
        <f t="shared" si="20"/>
        <v>1</v>
      </c>
      <c r="AH77" s="1">
        <f t="shared" si="21"/>
        <v>0</v>
      </c>
      <c r="AI77" s="1">
        <f t="shared" si="22"/>
        <v>1</v>
      </c>
    </row>
    <row r="78" spans="1:35" ht="14.25" customHeight="1" x14ac:dyDescent="0.25">
      <c r="A78" s="41">
        <v>0</v>
      </c>
      <c r="B78" s="41">
        <v>1</v>
      </c>
      <c r="C78" s="41">
        <v>2</v>
      </c>
      <c r="D78" s="57" t="s">
        <v>1332</v>
      </c>
      <c r="E78" s="42" t="s">
        <v>175</v>
      </c>
      <c r="F78" s="42" t="s">
        <v>1275</v>
      </c>
      <c r="G78" s="42" t="s">
        <v>208</v>
      </c>
      <c r="H78" s="42" t="s">
        <v>355</v>
      </c>
      <c r="I78" s="41" t="s">
        <v>1276</v>
      </c>
      <c r="J78" s="41">
        <v>99</v>
      </c>
      <c r="K78" s="43" t="s">
        <v>966</v>
      </c>
      <c r="L78" s="43" t="s">
        <v>39</v>
      </c>
      <c r="M78" s="44" t="s">
        <v>39</v>
      </c>
      <c r="N78" s="45"/>
      <c r="O78" s="46"/>
      <c r="P78" s="46">
        <v>1</v>
      </c>
      <c r="Q78" s="42"/>
      <c r="S78" s="1">
        <f t="shared" si="35"/>
        <v>0</v>
      </c>
      <c r="T78" s="1">
        <f t="shared" si="36"/>
        <v>0</v>
      </c>
      <c r="U78" s="1">
        <f t="shared" si="37"/>
        <v>0</v>
      </c>
      <c r="V78" s="1">
        <f t="shared" si="38"/>
        <v>0</v>
      </c>
      <c r="W78" s="1">
        <f t="shared" si="39"/>
        <v>0</v>
      </c>
      <c r="X78" s="1">
        <f t="shared" si="40"/>
        <v>0</v>
      </c>
      <c r="Y78" s="1">
        <f t="shared" si="41"/>
        <v>0</v>
      </c>
      <c r="Z78" s="1">
        <f t="shared" si="42"/>
        <v>0</v>
      </c>
      <c r="AA78" s="1">
        <f t="shared" si="43"/>
        <v>0</v>
      </c>
      <c r="AB78" s="1">
        <f t="shared" si="44"/>
        <v>0</v>
      </c>
      <c r="AD78" s="1">
        <f t="shared" si="45"/>
        <v>0</v>
      </c>
      <c r="AE78" s="1">
        <f t="shared" si="46"/>
        <v>0</v>
      </c>
      <c r="AF78" s="1">
        <f t="shared" si="19"/>
        <v>0</v>
      </c>
      <c r="AG78" s="1">
        <f t="shared" si="20"/>
        <v>0</v>
      </c>
      <c r="AH78" s="1">
        <f t="shared" si="21"/>
        <v>1</v>
      </c>
      <c r="AI78" s="1">
        <f t="shared" si="22"/>
        <v>0</v>
      </c>
    </row>
    <row r="79" spans="1:35" ht="14.25" customHeight="1" x14ac:dyDescent="0.25">
      <c r="A79" s="34">
        <v>0</v>
      </c>
      <c r="B79" s="34">
        <v>1</v>
      </c>
      <c r="C79" s="34">
        <v>3</v>
      </c>
      <c r="D79" s="39" t="s">
        <v>1806</v>
      </c>
      <c r="E79" s="35" t="s">
        <v>171</v>
      </c>
      <c r="F79" s="39" t="s">
        <v>1804</v>
      </c>
      <c r="G79" s="39" t="s">
        <v>233</v>
      </c>
      <c r="H79" s="39" t="s">
        <v>355</v>
      </c>
      <c r="I79" s="40" t="s">
        <v>1805</v>
      </c>
      <c r="J79" s="34">
        <v>99</v>
      </c>
      <c r="K79" s="36" t="s">
        <v>707</v>
      </c>
      <c r="L79" s="36"/>
      <c r="M79" s="37"/>
      <c r="N79" s="37" t="s">
        <v>1734</v>
      </c>
      <c r="O79" s="38">
        <v>1</v>
      </c>
      <c r="P79" s="38">
        <v>1</v>
      </c>
      <c r="Q79" s="39"/>
      <c r="S79" s="1">
        <f t="shared" si="35"/>
        <v>0</v>
      </c>
      <c r="T79" s="1">
        <f t="shared" si="36"/>
        <v>0</v>
      </c>
      <c r="U79" s="1">
        <f t="shared" si="37"/>
        <v>0</v>
      </c>
      <c r="V79" s="1">
        <f t="shared" si="38"/>
        <v>0</v>
      </c>
      <c r="W79" s="1">
        <f t="shared" si="39"/>
        <v>0</v>
      </c>
      <c r="X79" s="1">
        <f t="shared" si="40"/>
        <v>0</v>
      </c>
      <c r="Y79" s="1">
        <f t="shared" si="41"/>
        <v>0</v>
      </c>
      <c r="Z79" s="1">
        <f t="shared" si="42"/>
        <v>0</v>
      </c>
      <c r="AA79" s="1">
        <f t="shared" si="43"/>
        <v>0</v>
      </c>
      <c r="AB79" s="1">
        <f t="shared" si="44"/>
        <v>0</v>
      </c>
      <c r="AD79" s="1">
        <f t="shared" si="45"/>
        <v>1</v>
      </c>
      <c r="AE79" s="1">
        <f t="shared" si="46"/>
        <v>0</v>
      </c>
      <c r="AF79" s="1">
        <f t="shared" si="19"/>
        <v>1</v>
      </c>
      <c r="AG79" s="1">
        <f t="shared" si="20"/>
        <v>0</v>
      </c>
      <c r="AH79" s="1">
        <f t="shared" si="21"/>
        <v>1</v>
      </c>
      <c r="AI79" s="1">
        <f t="shared" si="22"/>
        <v>0</v>
      </c>
    </row>
    <row r="80" spans="1:35" ht="14.25" customHeight="1" x14ac:dyDescent="0.25">
      <c r="A80" s="34">
        <v>0</v>
      </c>
      <c r="B80" s="34">
        <v>1</v>
      </c>
      <c r="C80" s="34">
        <v>3</v>
      </c>
      <c r="D80" s="39" t="s">
        <v>1164</v>
      </c>
      <c r="E80" s="35" t="s">
        <v>171</v>
      </c>
      <c r="F80" s="39" t="s">
        <v>1165</v>
      </c>
      <c r="G80" s="39" t="s">
        <v>39</v>
      </c>
      <c r="H80" s="39" t="s">
        <v>1366</v>
      </c>
      <c r="I80" s="40" t="s">
        <v>1166</v>
      </c>
      <c r="J80" s="34">
        <v>11</v>
      </c>
      <c r="K80" s="36" t="s">
        <v>706</v>
      </c>
      <c r="L80" s="36" t="s">
        <v>1706</v>
      </c>
      <c r="M80" s="37" t="s">
        <v>1396</v>
      </c>
      <c r="N80" s="37" t="s">
        <v>1756</v>
      </c>
      <c r="O80" s="38">
        <v>1</v>
      </c>
      <c r="P80" s="38"/>
      <c r="Q80" s="39"/>
      <c r="S80" s="1">
        <f t="shared" si="35"/>
        <v>0</v>
      </c>
      <c r="T80" s="1">
        <f t="shared" si="36"/>
        <v>0</v>
      </c>
      <c r="U80" s="1">
        <f t="shared" si="37"/>
        <v>0</v>
      </c>
      <c r="V80" s="1">
        <f t="shared" si="38"/>
        <v>0</v>
      </c>
      <c r="W80" s="1">
        <f t="shared" si="39"/>
        <v>0</v>
      </c>
      <c r="X80" s="1">
        <f t="shared" si="40"/>
        <v>0</v>
      </c>
      <c r="Y80" s="1">
        <f t="shared" si="41"/>
        <v>0</v>
      </c>
      <c r="Z80" s="1">
        <f t="shared" si="42"/>
        <v>0</v>
      </c>
      <c r="AA80" s="1">
        <f t="shared" si="43"/>
        <v>0</v>
      </c>
      <c r="AB80" s="1">
        <f t="shared" si="44"/>
        <v>0</v>
      </c>
      <c r="AD80" s="1">
        <f t="shared" si="45"/>
        <v>0</v>
      </c>
      <c r="AE80" s="1">
        <f t="shared" si="46"/>
        <v>1</v>
      </c>
      <c r="AF80" s="1">
        <f t="shared" si="19"/>
        <v>0</v>
      </c>
      <c r="AG80" s="1">
        <f t="shared" si="20"/>
        <v>1</v>
      </c>
      <c r="AH80" s="1">
        <f t="shared" si="21"/>
        <v>0</v>
      </c>
      <c r="AI80" s="1">
        <f t="shared" si="22"/>
        <v>1</v>
      </c>
    </row>
    <row r="81" spans="1:35" ht="14.25" customHeight="1" x14ac:dyDescent="0.25">
      <c r="A81" s="15">
        <v>0</v>
      </c>
      <c r="B81" s="15">
        <v>1</v>
      </c>
      <c r="C81" s="15">
        <v>3</v>
      </c>
      <c r="D81" s="16" t="s">
        <v>124</v>
      </c>
      <c r="E81" s="16" t="s">
        <v>171</v>
      </c>
      <c r="F81" s="16" t="s">
        <v>578</v>
      </c>
      <c r="G81" s="16" t="s">
        <v>39</v>
      </c>
      <c r="H81" s="16" t="s">
        <v>374</v>
      </c>
      <c r="I81" s="15" t="s">
        <v>472</v>
      </c>
      <c r="J81" s="15">
        <v>18</v>
      </c>
      <c r="K81" s="10" t="s">
        <v>707</v>
      </c>
      <c r="L81" s="10" t="s">
        <v>699</v>
      </c>
      <c r="M81" s="19" t="s">
        <v>695</v>
      </c>
      <c r="N81" s="17"/>
      <c r="Q81" s="20" t="s">
        <v>1889</v>
      </c>
      <c r="S81" s="1">
        <f t="shared" si="35"/>
        <v>0</v>
      </c>
      <c r="T81" s="1">
        <f t="shared" si="36"/>
        <v>0</v>
      </c>
      <c r="U81" s="1">
        <f t="shared" si="37"/>
        <v>0</v>
      </c>
      <c r="V81" s="1">
        <f t="shared" si="38"/>
        <v>0</v>
      </c>
      <c r="W81" s="1">
        <f t="shared" si="39"/>
        <v>0</v>
      </c>
      <c r="X81" s="1">
        <f t="shared" si="40"/>
        <v>0</v>
      </c>
      <c r="Y81" s="1">
        <f t="shared" si="41"/>
        <v>0</v>
      </c>
      <c r="Z81" s="1">
        <f t="shared" si="42"/>
        <v>0</v>
      </c>
      <c r="AA81" s="1">
        <f t="shared" si="43"/>
        <v>0</v>
      </c>
      <c r="AB81" s="1">
        <f t="shared" si="44"/>
        <v>0</v>
      </c>
      <c r="AD81" s="1">
        <f t="shared" si="45"/>
        <v>0</v>
      </c>
      <c r="AE81" s="1">
        <f t="shared" si="46"/>
        <v>0</v>
      </c>
      <c r="AF81" s="1">
        <f t="shared" si="19"/>
        <v>0</v>
      </c>
      <c r="AG81" s="1">
        <f t="shared" si="20"/>
        <v>0</v>
      </c>
      <c r="AH81" s="1">
        <f t="shared" si="21"/>
        <v>0</v>
      </c>
      <c r="AI81" s="1">
        <f t="shared" si="22"/>
        <v>1</v>
      </c>
    </row>
    <row r="82" spans="1:35" ht="14.25" customHeight="1" x14ac:dyDescent="0.25">
      <c r="A82" s="34">
        <v>0</v>
      </c>
      <c r="B82" s="34">
        <v>1</v>
      </c>
      <c r="C82" s="34">
        <v>3</v>
      </c>
      <c r="D82" s="39" t="s">
        <v>1014</v>
      </c>
      <c r="E82" s="35" t="s">
        <v>173</v>
      </c>
      <c r="F82" s="39" t="s">
        <v>1015</v>
      </c>
      <c r="G82" s="39" t="s">
        <v>1016</v>
      </c>
      <c r="H82" s="39" t="s">
        <v>355</v>
      </c>
      <c r="I82" s="40" t="s">
        <v>1017</v>
      </c>
      <c r="J82" s="34">
        <v>99</v>
      </c>
      <c r="K82" s="36" t="s">
        <v>960</v>
      </c>
      <c r="L82" s="36" t="s">
        <v>39</v>
      </c>
      <c r="M82" s="37" t="s">
        <v>39</v>
      </c>
      <c r="N82" s="37" t="s">
        <v>1740</v>
      </c>
      <c r="O82" s="38">
        <v>1</v>
      </c>
      <c r="P82" s="38">
        <v>1</v>
      </c>
      <c r="Q82" s="39"/>
      <c r="S82" s="1">
        <f t="shared" si="35"/>
        <v>0</v>
      </c>
      <c r="T82" s="1">
        <f t="shared" si="36"/>
        <v>0</v>
      </c>
      <c r="U82" s="1">
        <f t="shared" si="37"/>
        <v>0</v>
      </c>
      <c r="V82" s="1">
        <f t="shared" si="38"/>
        <v>0</v>
      </c>
      <c r="W82" s="1">
        <f t="shared" si="39"/>
        <v>0</v>
      </c>
      <c r="X82" s="1">
        <f t="shared" si="40"/>
        <v>0</v>
      </c>
      <c r="Y82" s="1">
        <f t="shared" si="41"/>
        <v>0</v>
      </c>
      <c r="Z82" s="1">
        <f t="shared" si="42"/>
        <v>0</v>
      </c>
      <c r="AA82" s="1">
        <f t="shared" si="43"/>
        <v>0</v>
      </c>
      <c r="AB82" s="1">
        <f t="shared" si="44"/>
        <v>0</v>
      </c>
      <c r="AD82" s="1">
        <f t="shared" si="45"/>
        <v>1</v>
      </c>
      <c r="AE82" s="1">
        <f t="shared" si="46"/>
        <v>0</v>
      </c>
      <c r="AF82" s="1">
        <f t="shared" si="19"/>
        <v>1</v>
      </c>
      <c r="AG82" s="1">
        <f t="shared" si="20"/>
        <v>0</v>
      </c>
      <c r="AH82" s="1">
        <f t="shared" si="21"/>
        <v>1</v>
      </c>
      <c r="AI82" s="1">
        <f t="shared" si="22"/>
        <v>0</v>
      </c>
    </row>
    <row r="83" spans="1:35" ht="14.25" customHeight="1" x14ac:dyDescent="0.25">
      <c r="A83" s="34">
        <v>0</v>
      </c>
      <c r="B83" s="34">
        <v>1</v>
      </c>
      <c r="C83" s="34">
        <v>3</v>
      </c>
      <c r="D83" s="39" t="s">
        <v>143</v>
      </c>
      <c r="E83" s="35" t="s">
        <v>176</v>
      </c>
      <c r="F83" s="39" t="s">
        <v>345</v>
      </c>
      <c r="G83" s="39" t="s">
        <v>346</v>
      </c>
      <c r="H83" s="39" t="s">
        <v>355</v>
      </c>
      <c r="I83" s="40" t="s">
        <v>492</v>
      </c>
      <c r="J83" s="34">
        <v>6</v>
      </c>
      <c r="K83" s="36" t="s">
        <v>961</v>
      </c>
      <c r="L83" s="36" t="s">
        <v>690</v>
      </c>
      <c r="M83" s="37" t="s">
        <v>695</v>
      </c>
      <c r="N83" s="37" t="s">
        <v>1750</v>
      </c>
      <c r="O83" s="38">
        <v>1</v>
      </c>
      <c r="P83" s="38"/>
      <c r="Q83" s="39"/>
      <c r="S83" s="1">
        <f t="shared" si="35"/>
        <v>0</v>
      </c>
      <c r="T83" s="1">
        <f t="shared" si="36"/>
        <v>0</v>
      </c>
      <c r="U83" s="1">
        <f t="shared" si="37"/>
        <v>0</v>
      </c>
      <c r="V83" s="1">
        <f t="shared" si="38"/>
        <v>0</v>
      </c>
      <c r="W83" s="1">
        <f t="shared" si="39"/>
        <v>0</v>
      </c>
      <c r="X83" s="1">
        <f t="shared" si="40"/>
        <v>1</v>
      </c>
      <c r="Y83" s="1">
        <f t="shared" si="41"/>
        <v>0</v>
      </c>
      <c r="Z83" s="1">
        <f t="shared" si="42"/>
        <v>0</v>
      </c>
      <c r="AA83" s="1">
        <f t="shared" si="43"/>
        <v>0</v>
      </c>
      <c r="AB83" s="1">
        <f t="shared" si="44"/>
        <v>0</v>
      </c>
      <c r="AD83" s="1">
        <f t="shared" si="45"/>
        <v>0</v>
      </c>
      <c r="AE83" s="1">
        <f t="shared" si="46"/>
        <v>1</v>
      </c>
      <c r="AF83" s="1">
        <f t="shared" si="19"/>
        <v>0</v>
      </c>
      <c r="AG83" s="1">
        <f t="shared" si="20"/>
        <v>1</v>
      </c>
      <c r="AH83" s="1">
        <f t="shared" si="21"/>
        <v>0</v>
      </c>
      <c r="AI83" s="1">
        <f t="shared" si="22"/>
        <v>1</v>
      </c>
    </row>
    <row r="84" spans="1:35" ht="14.25" customHeight="1" x14ac:dyDescent="0.25">
      <c r="A84" s="15">
        <v>0</v>
      </c>
      <c r="B84" s="15">
        <v>1</v>
      </c>
      <c r="C84" s="15">
        <v>3</v>
      </c>
      <c r="D84" s="16" t="s">
        <v>1793</v>
      </c>
      <c r="E84" s="16" t="s">
        <v>173</v>
      </c>
      <c r="F84" s="16" t="s">
        <v>1795</v>
      </c>
      <c r="G84" s="16"/>
      <c r="H84" s="16" t="s">
        <v>365</v>
      </c>
      <c r="I84" s="15" t="s">
        <v>1794</v>
      </c>
      <c r="J84" s="15">
        <v>17</v>
      </c>
      <c r="K84" s="10" t="s">
        <v>707</v>
      </c>
      <c r="L84" s="10" t="s">
        <v>1749</v>
      </c>
      <c r="M84" s="19" t="s">
        <v>695</v>
      </c>
      <c r="N84" s="17"/>
      <c r="Q84" s="20" t="s">
        <v>1921</v>
      </c>
      <c r="S84" s="1">
        <f t="shared" si="35"/>
        <v>0</v>
      </c>
      <c r="T84" s="1">
        <f t="shared" si="36"/>
        <v>0</v>
      </c>
      <c r="U84" s="1">
        <f t="shared" si="37"/>
        <v>0</v>
      </c>
      <c r="V84" s="1">
        <f t="shared" si="38"/>
        <v>0</v>
      </c>
      <c r="W84" s="1">
        <f t="shared" si="39"/>
        <v>0</v>
      </c>
      <c r="X84" s="1">
        <f t="shared" si="40"/>
        <v>0</v>
      </c>
      <c r="Y84" s="1">
        <f t="shared" si="41"/>
        <v>0</v>
      </c>
      <c r="Z84" s="1">
        <f t="shared" si="42"/>
        <v>0</v>
      </c>
      <c r="AA84" s="1">
        <f t="shared" si="43"/>
        <v>0</v>
      </c>
      <c r="AB84" s="1">
        <f t="shared" si="44"/>
        <v>0</v>
      </c>
      <c r="AD84" s="1">
        <f t="shared" si="45"/>
        <v>0</v>
      </c>
      <c r="AE84" s="1">
        <f t="shared" si="46"/>
        <v>0</v>
      </c>
      <c r="AF84" s="1">
        <f t="shared" si="19"/>
        <v>0</v>
      </c>
      <c r="AG84" s="1">
        <f t="shared" si="20"/>
        <v>0</v>
      </c>
      <c r="AH84" s="1">
        <f t="shared" si="21"/>
        <v>0</v>
      </c>
      <c r="AI84" s="1">
        <f t="shared" si="22"/>
        <v>1</v>
      </c>
    </row>
    <row r="85" spans="1:35" ht="14.25" customHeight="1" x14ac:dyDescent="0.25">
      <c r="A85" s="34">
        <v>0</v>
      </c>
      <c r="B85" s="34">
        <v>1</v>
      </c>
      <c r="C85" s="34">
        <v>3</v>
      </c>
      <c r="D85" s="35" t="s">
        <v>1817</v>
      </c>
      <c r="E85" s="35" t="s">
        <v>173</v>
      </c>
      <c r="F85" s="35" t="s">
        <v>1818</v>
      </c>
      <c r="G85" s="35" t="s">
        <v>1819</v>
      </c>
      <c r="H85" s="35" t="s">
        <v>355</v>
      </c>
      <c r="I85" s="34" t="s">
        <v>1820</v>
      </c>
      <c r="J85" s="34">
        <v>1</v>
      </c>
      <c r="K85" s="36" t="s">
        <v>707</v>
      </c>
      <c r="L85" s="36">
        <v>60</v>
      </c>
      <c r="M85" s="37" t="s">
        <v>1821</v>
      </c>
      <c r="N85" s="37" t="s">
        <v>1856</v>
      </c>
      <c r="O85" s="38">
        <v>1</v>
      </c>
      <c r="P85" s="38"/>
      <c r="Q85" s="35"/>
      <c r="S85" s="1">
        <f t="shared" si="35"/>
        <v>1</v>
      </c>
      <c r="T85" s="1">
        <f t="shared" si="36"/>
        <v>0</v>
      </c>
      <c r="U85" s="1">
        <f t="shared" si="37"/>
        <v>0</v>
      </c>
      <c r="V85" s="1">
        <f t="shared" si="38"/>
        <v>0</v>
      </c>
      <c r="W85" s="1">
        <f t="shared" si="39"/>
        <v>0</v>
      </c>
      <c r="X85" s="1">
        <f t="shared" si="40"/>
        <v>0</v>
      </c>
      <c r="Y85" s="1">
        <f t="shared" si="41"/>
        <v>0</v>
      </c>
      <c r="Z85" s="1">
        <f t="shared" si="42"/>
        <v>0</v>
      </c>
      <c r="AA85" s="1">
        <f t="shared" si="43"/>
        <v>0</v>
      </c>
      <c r="AB85" s="1">
        <f t="shared" si="44"/>
        <v>0</v>
      </c>
      <c r="AD85" s="1">
        <f t="shared" si="45"/>
        <v>0</v>
      </c>
      <c r="AE85" s="1">
        <f t="shared" si="46"/>
        <v>1</v>
      </c>
      <c r="AF85" s="1">
        <f t="shared" si="19"/>
        <v>0</v>
      </c>
      <c r="AG85" s="1">
        <f t="shared" si="20"/>
        <v>1</v>
      </c>
      <c r="AH85" s="1">
        <f t="shared" si="21"/>
        <v>0</v>
      </c>
      <c r="AI85" s="1">
        <f t="shared" si="22"/>
        <v>1</v>
      </c>
    </row>
    <row r="86" spans="1:35" ht="14.25" customHeight="1" x14ac:dyDescent="0.25">
      <c r="A86" s="34">
        <v>0</v>
      </c>
      <c r="B86" s="34">
        <v>1</v>
      </c>
      <c r="C86" s="34">
        <v>3</v>
      </c>
      <c r="D86" s="39" t="s">
        <v>1605</v>
      </c>
      <c r="E86" s="35" t="s">
        <v>176</v>
      </c>
      <c r="F86" s="39" t="s">
        <v>320</v>
      </c>
      <c r="G86" s="39" t="s">
        <v>270</v>
      </c>
      <c r="H86" s="39" t="s">
        <v>355</v>
      </c>
      <c r="I86" s="40" t="s">
        <v>467</v>
      </c>
      <c r="J86" s="34">
        <v>8</v>
      </c>
      <c r="K86" s="36" t="s">
        <v>706</v>
      </c>
      <c r="L86" s="36" t="s">
        <v>693</v>
      </c>
      <c r="M86" s="37" t="s">
        <v>695</v>
      </c>
      <c r="N86" s="37" t="s">
        <v>1762</v>
      </c>
      <c r="O86" s="38">
        <v>1</v>
      </c>
      <c r="P86" s="38"/>
      <c r="Q86" s="39"/>
      <c r="S86" s="1">
        <f t="shared" si="35"/>
        <v>0</v>
      </c>
      <c r="T86" s="1">
        <f t="shared" si="36"/>
        <v>0</v>
      </c>
      <c r="U86" s="1">
        <f t="shared" si="37"/>
        <v>0</v>
      </c>
      <c r="V86" s="1">
        <f t="shared" si="38"/>
        <v>0</v>
      </c>
      <c r="W86" s="1">
        <f t="shared" si="39"/>
        <v>0</v>
      </c>
      <c r="X86" s="1">
        <f t="shared" si="40"/>
        <v>0</v>
      </c>
      <c r="Y86" s="1">
        <f t="shared" si="41"/>
        <v>0</v>
      </c>
      <c r="Z86" s="1">
        <f t="shared" si="42"/>
        <v>1</v>
      </c>
      <c r="AA86" s="1">
        <f t="shared" si="43"/>
        <v>0</v>
      </c>
      <c r="AB86" s="1">
        <f t="shared" si="44"/>
        <v>0</v>
      </c>
      <c r="AD86" s="1">
        <f t="shared" si="45"/>
        <v>0</v>
      </c>
      <c r="AE86" s="1">
        <f t="shared" si="46"/>
        <v>1</v>
      </c>
      <c r="AF86" s="1">
        <f t="shared" si="19"/>
        <v>0</v>
      </c>
      <c r="AG86" s="1">
        <f t="shared" si="20"/>
        <v>1</v>
      </c>
      <c r="AH86" s="1">
        <f t="shared" si="21"/>
        <v>0</v>
      </c>
      <c r="AI86" s="1">
        <f t="shared" si="22"/>
        <v>1</v>
      </c>
    </row>
    <row r="87" spans="1:35" ht="14.25" customHeight="1" x14ac:dyDescent="0.25">
      <c r="A87" s="41">
        <v>0</v>
      </c>
      <c r="B87" s="41">
        <v>1</v>
      </c>
      <c r="C87" s="41">
        <v>3</v>
      </c>
      <c r="D87" s="42" t="s">
        <v>136</v>
      </c>
      <c r="E87" s="42" t="s">
        <v>173</v>
      </c>
      <c r="F87" s="57" t="s">
        <v>1887</v>
      </c>
      <c r="G87" s="42" t="s">
        <v>241</v>
      </c>
      <c r="H87" s="42" t="s">
        <v>355</v>
      </c>
      <c r="I87" s="41" t="s">
        <v>485</v>
      </c>
      <c r="J87" s="41">
        <v>1</v>
      </c>
      <c r="K87" s="43" t="s">
        <v>960</v>
      </c>
      <c r="L87" s="43" t="s">
        <v>693</v>
      </c>
      <c r="M87" s="44" t="s">
        <v>695</v>
      </c>
      <c r="N87" s="45"/>
      <c r="O87" s="46"/>
      <c r="P87" s="46">
        <v>1</v>
      </c>
      <c r="Q87" s="42"/>
      <c r="S87" s="1">
        <f t="shared" si="35"/>
        <v>1</v>
      </c>
      <c r="T87" s="1">
        <f t="shared" si="36"/>
        <v>0</v>
      </c>
      <c r="U87" s="1">
        <f t="shared" si="37"/>
        <v>0</v>
      </c>
      <c r="V87" s="1">
        <f t="shared" si="38"/>
        <v>0</v>
      </c>
      <c r="W87" s="1">
        <f t="shared" si="39"/>
        <v>0</v>
      </c>
      <c r="X87" s="1">
        <f t="shared" si="40"/>
        <v>0</v>
      </c>
      <c r="Y87" s="1">
        <f t="shared" si="41"/>
        <v>0</v>
      </c>
      <c r="Z87" s="1">
        <f t="shared" si="42"/>
        <v>0</v>
      </c>
      <c r="AA87" s="1">
        <f t="shared" si="43"/>
        <v>0</v>
      </c>
      <c r="AB87" s="1">
        <f t="shared" si="44"/>
        <v>0</v>
      </c>
      <c r="AD87" s="1">
        <f t="shared" si="45"/>
        <v>0</v>
      </c>
      <c r="AE87" s="1">
        <f t="shared" si="46"/>
        <v>0</v>
      </c>
      <c r="AF87" s="1">
        <f t="shared" si="19"/>
        <v>0</v>
      </c>
      <c r="AG87" s="1">
        <f t="shared" si="20"/>
        <v>0</v>
      </c>
      <c r="AH87" s="1">
        <f t="shared" si="21"/>
        <v>1</v>
      </c>
      <c r="AI87" s="1">
        <f t="shared" si="22"/>
        <v>0</v>
      </c>
    </row>
    <row r="88" spans="1:35" ht="14.25" customHeight="1" x14ac:dyDescent="0.25">
      <c r="A88" s="47">
        <v>0</v>
      </c>
      <c r="B88" s="47">
        <v>1</v>
      </c>
      <c r="C88" s="47">
        <v>3</v>
      </c>
      <c r="D88" s="48" t="s">
        <v>794</v>
      </c>
      <c r="E88" s="48" t="s">
        <v>612</v>
      </c>
      <c r="F88" s="48" t="s">
        <v>796</v>
      </c>
      <c r="G88" s="48" t="s">
        <v>215</v>
      </c>
      <c r="H88" s="48" t="s">
        <v>355</v>
      </c>
      <c r="I88" s="47" t="s">
        <v>795</v>
      </c>
      <c r="J88" s="47">
        <v>99</v>
      </c>
      <c r="K88" s="49" t="s">
        <v>726</v>
      </c>
      <c r="L88" s="49" t="s">
        <v>1706</v>
      </c>
      <c r="M88" s="50" t="s">
        <v>1397</v>
      </c>
      <c r="N88" s="50" t="s">
        <v>1754</v>
      </c>
      <c r="O88" s="51"/>
      <c r="P88" s="51"/>
      <c r="Q88" s="48"/>
      <c r="S88" s="1">
        <f t="shared" si="35"/>
        <v>0</v>
      </c>
      <c r="T88" s="1">
        <f t="shared" si="36"/>
        <v>0</v>
      </c>
      <c r="U88" s="1">
        <f t="shared" si="37"/>
        <v>0</v>
      </c>
      <c r="V88" s="1">
        <f t="shared" si="38"/>
        <v>0</v>
      </c>
      <c r="W88" s="1">
        <f t="shared" si="39"/>
        <v>0</v>
      </c>
      <c r="X88" s="1">
        <f t="shared" si="40"/>
        <v>0</v>
      </c>
      <c r="Y88" s="1">
        <f t="shared" si="41"/>
        <v>0</v>
      </c>
      <c r="Z88" s="1">
        <f t="shared" si="42"/>
        <v>0</v>
      </c>
      <c r="AA88" s="1">
        <f t="shared" si="43"/>
        <v>0</v>
      </c>
      <c r="AB88" s="1">
        <f t="shared" si="44"/>
        <v>0</v>
      </c>
      <c r="AD88" s="1">
        <f t="shared" si="45"/>
        <v>0</v>
      </c>
      <c r="AE88" s="1">
        <f t="shared" si="46"/>
        <v>0</v>
      </c>
      <c r="AF88" s="1">
        <f t="shared" si="19"/>
        <v>0</v>
      </c>
      <c r="AG88" s="1">
        <f t="shared" si="20"/>
        <v>0</v>
      </c>
      <c r="AH88" s="1">
        <f t="shared" si="21"/>
        <v>0</v>
      </c>
      <c r="AI88" s="1">
        <f t="shared" si="22"/>
        <v>1</v>
      </c>
    </row>
    <row r="89" spans="1:35" ht="14.25" customHeight="1" x14ac:dyDescent="0.25">
      <c r="A89" s="47">
        <v>0</v>
      </c>
      <c r="B89" s="47">
        <v>1</v>
      </c>
      <c r="C89" s="47">
        <v>3</v>
      </c>
      <c r="D89" s="48" t="s">
        <v>77</v>
      </c>
      <c r="E89" s="48" t="s">
        <v>173</v>
      </c>
      <c r="F89" s="48" t="s">
        <v>268</v>
      </c>
      <c r="G89" s="48" t="s">
        <v>264</v>
      </c>
      <c r="H89" s="48" t="s">
        <v>355</v>
      </c>
      <c r="I89" s="47" t="s">
        <v>425</v>
      </c>
      <c r="J89" s="47">
        <v>1</v>
      </c>
      <c r="K89" s="49" t="s">
        <v>960</v>
      </c>
      <c r="L89" s="49" t="s">
        <v>1706</v>
      </c>
      <c r="M89" s="50" t="s">
        <v>974</v>
      </c>
      <c r="N89" s="50" t="s">
        <v>1742</v>
      </c>
      <c r="O89" s="51"/>
      <c r="P89" s="51"/>
      <c r="Q89" s="48"/>
      <c r="S89" s="1">
        <f t="shared" si="35"/>
        <v>1</v>
      </c>
      <c r="T89" s="1">
        <f t="shared" si="36"/>
        <v>0</v>
      </c>
      <c r="U89" s="1">
        <f t="shared" si="37"/>
        <v>0</v>
      </c>
      <c r="V89" s="1">
        <f t="shared" si="38"/>
        <v>0</v>
      </c>
      <c r="W89" s="1">
        <f t="shared" si="39"/>
        <v>0</v>
      </c>
      <c r="X89" s="1">
        <f t="shared" si="40"/>
        <v>0</v>
      </c>
      <c r="Y89" s="1">
        <f t="shared" si="41"/>
        <v>0</v>
      </c>
      <c r="Z89" s="1">
        <f t="shared" si="42"/>
        <v>0</v>
      </c>
      <c r="AA89" s="1">
        <f t="shared" si="43"/>
        <v>0</v>
      </c>
      <c r="AB89" s="1">
        <f t="shared" si="44"/>
        <v>0</v>
      </c>
      <c r="AD89" s="1">
        <f t="shared" si="45"/>
        <v>0</v>
      </c>
      <c r="AE89" s="1">
        <f t="shared" si="46"/>
        <v>0</v>
      </c>
      <c r="AF89" s="1">
        <f t="shared" si="19"/>
        <v>0</v>
      </c>
      <c r="AG89" s="1">
        <f t="shared" si="20"/>
        <v>0</v>
      </c>
      <c r="AH89" s="1">
        <f t="shared" si="21"/>
        <v>0</v>
      </c>
      <c r="AI89" s="1">
        <f t="shared" si="22"/>
        <v>1</v>
      </c>
    </row>
    <row r="90" spans="1:35" ht="14.25" customHeight="1" x14ac:dyDescent="0.25">
      <c r="A90" s="15">
        <v>0</v>
      </c>
      <c r="B90" s="15">
        <v>1</v>
      </c>
      <c r="C90" s="15">
        <v>3</v>
      </c>
      <c r="D90" s="20" t="s">
        <v>1959</v>
      </c>
      <c r="E90" s="20" t="s">
        <v>1990</v>
      </c>
      <c r="F90" s="20" t="s">
        <v>1991</v>
      </c>
      <c r="G90" s="20"/>
      <c r="H90" s="20" t="s">
        <v>1987</v>
      </c>
      <c r="I90" s="21" t="s">
        <v>1992</v>
      </c>
      <c r="J90" s="15">
        <v>18</v>
      </c>
      <c r="K90" s="10" t="s">
        <v>707</v>
      </c>
      <c r="L90" s="10" t="s">
        <v>1749</v>
      </c>
      <c r="M90" s="19" t="s">
        <v>975</v>
      </c>
      <c r="N90" s="17"/>
      <c r="Q90" s="20" t="s">
        <v>1993</v>
      </c>
      <c r="S90" s="1">
        <f t="shared" si="35"/>
        <v>0</v>
      </c>
      <c r="T90" s="1">
        <f t="shared" si="36"/>
        <v>0</v>
      </c>
      <c r="U90" s="1">
        <f t="shared" si="37"/>
        <v>0</v>
      </c>
      <c r="V90" s="1">
        <f t="shared" si="38"/>
        <v>0</v>
      </c>
      <c r="W90" s="1">
        <f t="shared" si="39"/>
        <v>0</v>
      </c>
      <c r="X90" s="1">
        <f t="shared" si="40"/>
        <v>0</v>
      </c>
      <c r="Y90" s="1">
        <f t="shared" si="41"/>
        <v>0</v>
      </c>
      <c r="Z90" s="1">
        <f t="shared" si="42"/>
        <v>0</v>
      </c>
      <c r="AA90" s="1">
        <f t="shared" si="43"/>
        <v>0</v>
      </c>
      <c r="AB90" s="1">
        <f t="shared" si="44"/>
        <v>0</v>
      </c>
      <c r="AD90" s="1">
        <f t="shared" si="45"/>
        <v>0</v>
      </c>
      <c r="AE90" s="1">
        <f t="shared" si="46"/>
        <v>0</v>
      </c>
      <c r="AF90" s="1">
        <f t="shared" si="19"/>
        <v>0</v>
      </c>
      <c r="AG90" s="1">
        <f t="shared" si="20"/>
        <v>0</v>
      </c>
      <c r="AH90" s="1">
        <f t="shared" si="21"/>
        <v>0</v>
      </c>
      <c r="AI90" s="1">
        <f t="shared" si="22"/>
        <v>1</v>
      </c>
    </row>
    <row r="91" spans="1:35" ht="14.25" customHeight="1" x14ac:dyDescent="0.25">
      <c r="A91" s="34">
        <v>0</v>
      </c>
      <c r="B91" s="34">
        <v>1</v>
      </c>
      <c r="C91" s="34">
        <v>3</v>
      </c>
      <c r="D91" s="39" t="s">
        <v>1532</v>
      </c>
      <c r="E91" s="35" t="s">
        <v>177</v>
      </c>
      <c r="F91" s="39" t="s">
        <v>1533</v>
      </c>
      <c r="G91" s="39" t="s">
        <v>39</v>
      </c>
      <c r="H91" s="39" t="s">
        <v>910</v>
      </c>
      <c r="I91" s="40" t="s">
        <v>1534</v>
      </c>
      <c r="J91" s="34">
        <v>11</v>
      </c>
      <c r="K91" s="36" t="s">
        <v>968</v>
      </c>
      <c r="L91" s="36" t="s">
        <v>39</v>
      </c>
      <c r="M91" s="37" t="s">
        <v>39</v>
      </c>
      <c r="N91" s="37" t="s">
        <v>1740</v>
      </c>
      <c r="O91" s="38">
        <v>1</v>
      </c>
      <c r="P91" s="38">
        <v>1</v>
      </c>
      <c r="Q91" s="39"/>
      <c r="S91" s="1">
        <f t="shared" ref="S91:S93" si="47">IF(J91=$S$7,1,0)</f>
        <v>0</v>
      </c>
      <c r="T91" s="1">
        <f t="shared" ref="T91:T93" si="48">IF(J91=$T$7,1,0)</f>
        <v>0</v>
      </c>
      <c r="U91" s="1">
        <f t="shared" ref="U91:U93" si="49">IF(J91=$U$7,1,0)</f>
        <v>0</v>
      </c>
      <c r="V91" s="1">
        <f t="shared" ref="V91:V93" si="50">IF(J91=$V$7,1,0)</f>
        <v>0</v>
      </c>
      <c r="W91" s="1">
        <f t="shared" ref="W91:W93" si="51">IF(J91=$W$7,1,0)</f>
        <v>0</v>
      </c>
      <c r="X91" s="1">
        <f t="shared" ref="X91:X93" si="52">IF(J91=$X$7,1,0)</f>
        <v>0</v>
      </c>
      <c r="Y91" s="1">
        <f t="shared" ref="Y91:Y93" si="53">IF(J91=$Y$7,1,0)</f>
        <v>0</v>
      </c>
      <c r="Z91" s="1">
        <f t="shared" ref="Z91:Z93" si="54">IF(J91=$Z$7,1,0)</f>
        <v>0</v>
      </c>
      <c r="AA91" s="1">
        <f t="shared" ref="AA91:AA93" si="55">IF(J91=$AA$7,1,0)</f>
        <v>0</v>
      </c>
      <c r="AB91" s="1">
        <f t="shared" ref="AB91:AB93" si="56">IF(J91=$AB$7,1,0)</f>
        <v>0</v>
      </c>
      <c r="AD91" s="1">
        <f t="shared" ref="AD91:AD93" si="57">+O91*P91</f>
        <v>1</v>
      </c>
      <c r="AE91" s="1">
        <f t="shared" ref="AE91:AE93" si="58">O91*(1-P91)</f>
        <v>0</v>
      </c>
      <c r="AF91" s="1">
        <f t="shared" si="19"/>
        <v>1</v>
      </c>
      <c r="AG91" s="1">
        <f t="shared" si="20"/>
        <v>0</v>
      </c>
      <c r="AH91" s="1">
        <f t="shared" si="21"/>
        <v>1</v>
      </c>
      <c r="AI91" s="1">
        <f t="shared" si="22"/>
        <v>0</v>
      </c>
    </row>
    <row r="92" spans="1:35" ht="14.25" customHeight="1" x14ac:dyDescent="0.25">
      <c r="A92" s="34">
        <v>0</v>
      </c>
      <c r="B92" s="34">
        <v>1</v>
      </c>
      <c r="C92" s="34">
        <v>3</v>
      </c>
      <c r="D92" s="39" t="s">
        <v>1861</v>
      </c>
      <c r="E92" s="39" t="s">
        <v>173</v>
      </c>
      <c r="F92" s="39" t="s">
        <v>1862</v>
      </c>
      <c r="G92" s="39"/>
      <c r="H92" s="39" t="s">
        <v>1863</v>
      </c>
      <c r="I92" s="40" t="s">
        <v>1864</v>
      </c>
      <c r="J92" s="34">
        <v>15</v>
      </c>
      <c r="K92" s="36" t="s">
        <v>707</v>
      </c>
      <c r="L92" s="36"/>
      <c r="M92" s="37"/>
      <c r="N92" s="37" t="s">
        <v>1740</v>
      </c>
      <c r="O92" s="38">
        <v>1</v>
      </c>
      <c r="P92" s="38">
        <v>1</v>
      </c>
      <c r="Q92" s="39" t="s">
        <v>1899</v>
      </c>
      <c r="S92" s="1">
        <f t="shared" si="47"/>
        <v>0</v>
      </c>
      <c r="T92" s="1">
        <f t="shared" si="48"/>
        <v>0</v>
      </c>
      <c r="U92" s="1">
        <f t="shared" si="49"/>
        <v>0</v>
      </c>
      <c r="V92" s="1">
        <f t="shared" si="50"/>
        <v>0</v>
      </c>
      <c r="W92" s="1">
        <f t="shared" si="51"/>
        <v>0</v>
      </c>
      <c r="X92" s="1">
        <f t="shared" si="52"/>
        <v>0</v>
      </c>
      <c r="Y92" s="1">
        <f t="shared" si="53"/>
        <v>0</v>
      </c>
      <c r="Z92" s="1">
        <f t="shared" si="54"/>
        <v>0</v>
      </c>
      <c r="AA92" s="1">
        <f t="shared" si="55"/>
        <v>0</v>
      </c>
      <c r="AB92" s="1">
        <f t="shared" si="56"/>
        <v>0</v>
      </c>
      <c r="AD92" s="1">
        <f t="shared" si="57"/>
        <v>1</v>
      </c>
      <c r="AE92" s="1">
        <f t="shared" si="58"/>
        <v>0</v>
      </c>
      <c r="AF92" s="1">
        <f t="shared" si="19"/>
        <v>1</v>
      </c>
      <c r="AG92" s="1">
        <f t="shared" si="20"/>
        <v>0</v>
      </c>
      <c r="AH92" s="1">
        <f t="shared" si="21"/>
        <v>1</v>
      </c>
      <c r="AI92" s="1">
        <f t="shared" si="22"/>
        <v>0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16" t="s">
        <v>740</v>
      </c>
      <c r="E93" s="16" t="s">
        <v>1338</v>
      </c>
      <c r="F93" s="16" t="s">
        <v>1665</v>
      </c>
      <c r="G93" s="16" t="s">
        <v>39</v>
      </c>
      <c r="H93" s="16" t="s">
        <v>741</v>
      </c>
      <c r="I93" s="15" t="s">
        <v>742</v>
      </c>
      <c r="J93" s="15">
        <v>18</v>
      </c>
      <c r="K93" s="10" t="s">
        <v>706</v>
      </c>
      <c r="L93" s="10" t="s">
        <v>691</v>
      </c>
      <c r="M93" s="19" t="s">
        <v>974</v>
      </c>
      <c r="N93" s="17"/>
      <c r="Q93" s="16"/>
      <c r="S93" s="1">
        <f t="shared" si="47"/>
        <v>0</v>
      </c>
      <c r="T93" s="1">
        <f t="shared" si="48"/>
        <v>0</v>
      </c>
      <c r="U93" s="1">
        <f t="shared" si="49"/>
        <v>0</v>
      </c>
      <c r="V93" s="1">
        <f t="shared" si="50"/>
        <v>0</v>
      </c>
      <c r="W93" s="1">
        <f t="shared" si="51"/>
        <v>0</v>
      </c>
      <c r="X93" s="1">
        <f t="shared" si="52"/>
        <v>0</v>
      </c>
      <c r="Y93" s="1">
        <f t="shared" si="53"/>
        <v>0</v>
      </c>
      <c r="Z93" s="1">
        <f t="shared" si="54"/>
        <v>0</v>
      </c>
      <c r="AA93" s="1">
        <f t="shared" si="55"/>
        <v>0</v>
      </c>
      <c r="AB93" s="1">
        <f t="shared" si="56"/>
        <v>0</v>
      </c>
      <c r="AD93" s="1">
        <f t="shared" si="57"/>
        <v>0</v>
      </c>
      <c r="AE93" s="1">
        <f t="shared" si="58"/>
        <v>0</v>
      </c>
      <c r="AF93" s="1">
        <f t="shared" si="19"/>
        <v>0</v>
      </c>
      <c r="AG93" s="1">
        <f t="shared" si="20"/>
        <v>0</v>
      </c>
      <c r="AH93" s="1">
        <f t="shared" si="21"/>
        <v>0</v>
      </c>
      <c r="AI93" s="1">
        <f t="shared" si="22"/>
        <v>1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1553</v>
      </c>
      <c r="E94" s="16" t="s">
        <v>173</v>
      </c>
      <c r="F94" s="16" t="s">
        <v>1554</v>
      </c>
      <c r="G94" s="16" t="s">
        <v>39</v>
      </c>
      <c r="H94" s="16" t="s">
        <v>365</v>
      </c>
      <c r="I94" s="15" t="s">
        <v>1555</v>
      </c>
      <c r="J94" s="15">
        <v>17</v>
      </c>
      <c r="K94" s="10" t="s">
        <v>726</v>
      </c>
      <c r="L94" s="10" t="s">
        <v>691</v>
      </c>
      <c r="M94" s="19" t="s">
        <v>39</v>
      </c>
      <c r="N94" s="17"/>
      <c r="Q94" s="20" t="s">
        <v>1923</v>
      </c>
      <c r="S94" s="1">
        <f t="shared" si="35"/>
        <v>0</v>
      </c>
      <c r="T94" s="1">
        <f t="shared" si="36"/>
        <v>0</v>
      </c>
      <c r="U94" s="1">
        <f t="shared" si="37"/>
        <v>0</v>
      </c>
      <c r="V94" s="1">
        <f t="shared" si="38"/>
        <v>0</v>
      </c>
      <c r="W94" s="1">
        <f t="shared" si="39"/>
        <v>0</v>
      </c>
      <c r="X94" s="1">
        <f t="shared" si="40"/>
        <v>0</v>
      </c>
      <c r="Y94" s="1">
        <f t="shared" si="41"/>
        <v>0</v>
      </c>
      <c r="Z94" s="1">
        <f t="shared" si="42"/>
        <v>0</v>
      </c>
      <c r="AA94" s="1">
        <f t="shared" si="43"/>
        <v>0</v>
      </c>
      <c r="AB94" s="1">
        <f t="shared" si="44"/>
        <v>0</v>
      </c>
      <c r="AD94" s="1">
        <f t="shared" si="45"/>
        <v>0</v>
      </c>
      <c r="AE94" s="1">
        <f t="shared" si="46"/>
        <v>0</v>
      </c>
      <c r="AF94" s="1">
        <f t="shared" si="19"/>
        <v>0</v>
      </c>
      <c r="AG94" s="1">
        <f t="shared" si="20"/>
        <v>0</v>
      </c>
      <c r="AH94" s="1">
        <f t="shared" si="21"/>
        <v>0</v>
      </c>
      <c r="AI94" s="1">
        <f t="shared" si="22"/>
        <v>1</v>
      </c>
    </row>
    <row r="95" spans="1:35" ht="14.25" customHeight="1" x14ac:dyDescent="0.25">
      <c r="A95" s="47">
        <v>0</v>
      </c>
      <c r="B95" s="47">
        <v>1</v>
      </c>
      <c r="C95" s="47">
        <v>3</v>
      </c>
      <c r="D95" s="48" t="s">
        <v>119</v>
      </c>
      <c r="E95" s="48" t="s">
        <v>173</v>
      </c>
      <c r="F95" s="48" t="s">
        <v>321</v>
      </c>
      <c r="G95" s="48" t="s">
        <v>39</v>
      </c>
      <c r="H95" s="48" t="s">
        <v>371</v>
      </c>
      <c r="I95" s="47" t="s">
        <v>468</v>
      </c>
      <c r="J95" s="47">
        <v>14</v>
      </c>
      <c r="K95" s="49" t="s">
        <v>960</v>
      </c>
      <c r="L95" s="49" t="s">
        <v>698</v>
      </c>
      <c r="M95" s="50" t="s">
        <v>695</v>
      </c>
      <c r="N95" s="50" t="s">
        <v>1746</v>
      </c>
      <c r="O95" s="51"/>
      <c r="P95" s="51"/>
      <c r="Q95" s="68" t="s">
        <v>1896</v>
      </c>
      <c r="S95" s="1">
        <f t="shared" si="35"/>
        <v>0</v>
      </c>
      <c r="T95" s="1">
        <f t="shared" si="36"/>
        <v>0</v>
      </c>
      <c r="U95" s="1">
        <f t="shared" si="37"/>
        <v>0</v>
      </c>
      <c r="V95" s="1">
        <f t="shared" si="38"/>
        <v>0</v>
      </c>
      <c r="W95" s="1">
        <f t="shared" si="39"/>
        <v>0</v>
      </c>
      <c r="X95" s="1">
        <f t="shared" si="40"/>
        <v>0</v>
      </c>
      <c r="Y95" s="1">
        <f t="shared" si="41"/>
        <v>0</v>
      </c>
      <c r="Z95" s="1">
        <f t="shared" si="42"/>
        <v>0</v>
      </c>
      <c r="AA95" s="1">
        <f t="shared" si="43"/>
        <v>0</v>
      </c>
      <c r="AB95" s="1">
        <f t="shared" si="44"/>
        <v>0</v>
      </c>
      <c r="AD95" s="1">
        <f t="shared" si="45"/>
        <v>0</v>
      </c>
      <c r="AE95" s="1">
        <f t="shared" si="46"/>
        <v>0</v>
      </c>
      <c r="AF95" s="1">
        <f t="shared" si="19"/>
        <v>0</v>
      </c>
      <c r="AG95" s="1">
        <f t="shared" si="20"/>
        <v>0</v>
      </c>
      <c r="AH95" s="1">
        <f t="shared" si="21"/>
        <v>0</v>
      </c>
      <c r="AI95" s="1">
        <f t="shared" si="22"/>
        <v>1</v>
      </c>
    </row>
    <row r="96" spans="1:35" ht="14.25" customHeight="1" x14ac:dyDescent="0.25">
      <c r="A96" s="41">
        <v>0</v>
      </c>
      <c r="B96" s="41">
        <v>1</v>
      </c>
      <c r="C96" s="41">
        <v>3</v>
      </c>
      <c r="D96" s="42" t="s">
        <v>115</v>
      </c>
      <c r="E96" s="42" t="s">
        <v>171</v>
      </c>
      <c r="F96" s="42" t="s">
        <v>327</v>
      </c>
      <c r="G96" s="42" t="s">
        <v>231</v>
      </c>
      <c r="H96" s="42" t="s">
        <v>355</v>
      </c>
      <c r="I96" s="41" t="s">
        <v>475</v>
      </c>
      <c r="J96" s="41">
        <v>7</v>
      </c>
      <c r="K96" s="43" t="s">
        <v>706</v>
      </c>
      <c r="L96" s="43" t="s">
        <v>39</v>
      </c>
      <c r="M96" s="44" t="s">
        <v>39</v>
      </c>
      <c r="N96" s="45"/>
      <c r="O96" s="46"/>
      <c r="P96" s="46">
        <v>1</v>
      </c>
      <c r="Q96" s="42"/>
      <c r="S96" s="1">
        <f t="shared" ref="S96:S98" si="59">IF(J96=$S$7,1,0)</f>
        <v>0</v>
      </c>
      <c r="T96" s="1">
        <f t="shared" ref="T96:T98" si="60">IF(J96=$T$7,1,0)</f>
        <v>0</v>
      </c>
      <c r="U96" s="1">
        <f t="shared" ref="U96:U98" si="61">IF(J96=$U$7,1,0)</f>
        <v>0</v>
      </c>
      <c r="V96" s="1">
        <f t="shared" ref="V96:V98" si="62">IF(J96=$V$7,1,0)</f>
        <v>0</v>
      </c>
      <c r="W96" s="1">
        <f t="shared" ref="W96:W98" si="63">IF(J96=$W$7,1,0)</f>
        <v>0</v>
      </c>
      <c r="X96" s="1">
        <f t="shared" ref="X96:X98" si="64">IF(J96=$X$7,1,0)</f>
        <v>0</v>
      </c>
      <c r="Y96" s="1">
        <f t="shared" ref="Y96:Y98" si="65">IF(J96=$Y$7,1,0)</f>
        <v>1</v>
      </c>
      <c r="Z96" s="1">
        <f t="shared" ref="Z96:Z98" si="66">IF(J96=$Z$7,1,0)</f>
        <v>0</v>
      </c>
      <c r="AA96" s="1">
        <f t="shared" ref="AA96:AA98" si="67">IF(J96=$AA$7,1,0)</f>
        <v>0</v>
      </c>
      <c r="AB96" s="1">
        <f t="shared" ref="AB96:AB98" si="68">IF(J96=$AB$7,1,0)</f>
        <v>0</v>
      </c>
      <c r="AD96" s="1">
        <f t="shared" ref="AD96:AD98" si="69">+O96*P96</f>
        <v>0</v>
      </c>
      <c r="AE96" s="1">
        <f t="shared" ref="AE96:AE98" si="70">O96*(1-P96)</f>
        <v>0</v>
      </c>
      <c r="AF96" s="1">
        <f t="shared" ref="AF96:AF98" si="71">+O96*P96*(1-A96)</f>
        <v>0</v>
      </c>
      <c r="AG96" s="1">
        <f t="shared" ref="AG96:AG98" si="72">O96*(1-P96)*(1-A96)</f>
        <v>0</v>
      </c>
      <c r="AH96" s="1">
        <f t="shared" ref="AH96:AH98" si="73">+P96*(1-A96)</f>
        <v>1</v>
      </c>
      <c r="AI96" s="1">
        <f t="shared" ref="AI96:AI98" si="74">+(1-A96)*(1-P96)</f>
        <v>0</v>
      </c>
    </row>
    <row r="97" spans="1:35" ht="14.25" customHeight="1" x14ac:dyDescent="0.25">
      <c r="A97" s="34">
        <v>0</v>
      </c>
      <c r="B97" s="34">
        <v>1</v>
      </c>
      <c r="C97" s="34">
        <v>3</v>
      </c>
      <c r="D97" s="39" t="s">
        <v>1939</v>
      </c>
      <c r="E97" s="35" t="s">
        <v>1940</v>
      </c>
      <c r="F97" s="39" t="s">
        <v>1941</v>
      </c>
      <c r="G97" s="39"/>
      <c r="H97" s="39" t="s">
        <v>367</v>
      </c>
      <c r="I97" s="40" t="s">
        <v>1943</v>
      </c>
      <c r="J97" s="34">
        <v>18</v>
      </c>
      <c r="K97" s="36" t="s">
        <v>707</v>
      </c>
      <c r="L97" s="36"/>
      <c r="M97" s="37"/>
      <c r="N97" s="37" t="s">
        <v>1740</v>
      </c>
      <c r="O97" s="38">
        <v>1</v>
      </c>
      <c r="P97" s="38">
        <v>1</v>
      </c>
      <c r="Q97" s="39" t="s">
        <v>1942</v>
      </c>
      <c r="S97" s="1">
        <f t="shared" si="59"/>
        <v>0</v>
      </c>
      <c r="T97" s="1">
        <f t="shared" si="60"/>
        <v>0</v>
      </c>
      <c r="U97" s="1">
        <f t="shared" si="61"/>
        <v>0</v>
      </c>
      <c r="V97" s="1">
        <f t="shared" si="62"/>
        <v>0</v>
      </c>
      <c r="W97" s="1">
        <f t="shared" si="63"/>
        <v>0</v>
      </c>
      <c r="X97" s="1">
        <f t="shared" si="64"/>
        <v>0</v>
      </c>
      <c r="Y97" s="1">
        <f t="shared" si="65"/>
        <v>0</v>
      </c>
      <c r="Z97" s="1">
        <f t="shared" si="66"/>
        <v>0</v>
      </c>
      <c r="AA97" s="1">
        <f t="shared" si="67"/>
        <v>0</v>
      </c>
      <c r="AB97" s="1">
        <f t="shared" si="68"/>
        <v>0</v>
      </c>
      <c r="AD97" s="1">
        <f t="shared" si="69"/>
        <v>1</v>
      </c>
      <c r="AE97" s="1">
        <f t="shared" si="70"/>
        <v>0</v>
      </c>
      <c r="AF97" s="1">
        <f t="shared" si="71"/>
        <v>1</v>
      </c>
      <c r="AG97" s="1">
        <f t="shared" si="72"/>
        <v>0</v>
      </c>
      <c r="AH97" s="1">
        <f t="shared" si="73"/>
        <v>1</v>
      </c>
      <c r="AI97" s="1">
        <f t="shared" si="74"/>
        <v>0</v>
      </c>
    </row>
    <row r="98" spans="1:35" ht="14.25" customHeight="1" x14ac:dyDescent="0.25">
      <c r="A98" s="47">
        <v>0</v>
      </c>
      <c r="B98" s="47">
        <v>1</v>
      </c>
      <c r="C98" s="47">
        <v>3</v>
      </c>
      <c r="D98" s="48" t="s">
        <v>1214</v>
      </c>
      <c r="E98" s="48" t="s">
        <v>176</v>
      </c>
      <c r="F98" s="48" t="s">
        <v>1346</v>
      </c>
      <c r="G98" s="48" t="s">
        <v>39</v>
      </c>
      <c r="H98" s="48" t="s">
        <v>613</v>
      </c>
      <c r="I98" s="47" t="s">
        <v>1215</v>
      </c>
      <c r="J98" s="47">
        <v>14</v>
      </c>
      <c r="K98" s="49" t="s">
        <v>960</v>
      </c>
      <c r="L98" s="49" t="s">
        <v>1706</v>
      </c>
      <c r="M98" s="50" t="s">
        <v>1398</v>
      </c>
      <c r="N98" s="50" t="s">
        <v>1809</v>
      </c>
      <c r="O98" s="51"/>
      <c r="P98" s="51"/>
      <c r="Q98" s="48"/>
      <c r="S98" s="1">
        <f t="shared" si="59"/>
        <v>0</v>
      </c>
      <c r="T98" s="1">
        <f t="shared" si="60"/>
        <v>0</v>
      </c>
      <c r="U98" s="1">
        <f t="shared" si="61"/>
        <v>0</v>
      </c>
      <c r="V98" s="1">
        <f t="shared" si="62"/>
        <v>0</v>
      </c>
      <c r="W98" s="1">
        <f t="shared" si="63"/>
        <v>0</v>
      </c>
      <c r="X98" s="1">
        <f t="shared" si="64"/>
        <v>0</v>
      </c>
      <c r="Y98" s="1">
        <f t="shared" si="65"/>
        <v>0</v>
      </c>
      <c r="Z98" s="1">
        <f t="shared" si="66"/>
        <v>0</v>
      </c>
      <c r="AA98" s="1">
        <f t="shared" si="67"/>
        <v>0</v>
      </c>
      <c r="AB98" s="1">
        <f t="shared" si="68"/>
        <v>0</v>
      </c>
      <c r="AD98" s="1">
        <f t="shared" si="69"/>
        <v>0</v>
      </c>
      <c r="AE98" s="1">
        <f t="shared" si="70"/>
        <v>0</v>
      </c>
      <c r="AF98" s="1">
        <f t="shared" si="71"/>
        <v>0</v>
      </c>
      <c r="AG98" s="1">
        <f t="shared" si="72"/>
        <v>0</v>
      </c>
      <c r="AH98" s="1">
        <f t="shared" si="73"/>
        <v>0</v>
      </c>
      <c r="AI98" s="1">
        <f t="shared" si="74"/>
        <v>1</v>
      </c>
    </row>
    <row r="99" spans="1:35" ht="14.25" customHeight="1" x14ac:dyDescent="0.25">
      <c r="A99" s="34">
        <v>0</v>
      </c>
      <c r="B99" s="34">
        <v>1</v>
      </c>
      <c r="C99" s="34">
        <v>3</v>
      </c>
      <c r="D99" s="39" t="s">
        <v>825</v>
      </c>
      <c r="E99" s="35" t="s">
        <v>177</v>
      </c>
      <c r="F99" s="39" t="s">
        <v>931</v>
      </c>
      <c r="G99" s="39" t="s">
        <v>39</v>
      </c>
      <c r="H99" s="39" t="s">
        <v>373</v>
      </c>
      <c r="I99" s="40" t="s">
        <v>826</v>
      </c>
      <c r="J99" s="34">
        <v>16</v>
      </c>
      <c r="K99" s="36" t="s">
        <v>961</v>
      </c>
      <c r="L99" s="36" t="s">
        <v>691</v>
      </c>
      <c r="M99" s="37" t="s">
        <v>974</v>
      </c>
      <c r="N99" s="37" t="s">
        <v>1734</v>
      </c>
      <c r="O99" s="38">
        <v>1</v>
      </c>
      <c r="P99" s="38">
        <v>1</v>
      </c>
      <c r="Q99" s="39"/>
      <c r="S99" s="1">
        <f t="shared" si="35"/>
        <v>0</v>
      </c>
      <c r="T99" s="1">
        <f t="shared" si="36"/>
        <v>0</v>
      </c>
      <c r="U99" s="1">
        <f t="shared" si="37"/>
        <v>0</v>
      </c>
      <c r="V99" s="1">
        <f t="shared" si="38"/>
        <v>0</v>
      </c>
      <c r="W99" s="1">
        <f t="shared" si="39"/>
        <v>0</v>
      </c>
      <c r="X99" s="1">
        <f t="shared" si="40"/>
        <v>0</v>
      </c>
      <c r="Y99" s="1">
        <f t="shared" si="41"/>
        <v>0</v>
      </c>
      <c r="Z99" s="1">
        <f t="shared" si="42"/>
        <v>0</v>
      </c>
      <c r="AA99" s="1">
        <f t="shared" si="43"/>
        <v>0</v>
      </c>
      <c r="AB99" s="1">
        <f t="shared" si="44"/>
        <v>0</v>
      </c>
      <c r="AD99" s="1">
        <f t="shared" si="45"/>
        <v>1</v>
      </c>
      <c r="AE99" s="1">
        <f t="shared" si="46"/>
        <v>0</v>
      </c>
      <c r="AF99" s="1">
        <f t="shared" si="19"/>
        <v>1</v>
      </c>
      <c r="AG99" s="1">
        <f t="shared" si="20"/>
        <v>0</v>
      </c>
      <c r="AH99" s="1">
        <f t="shared" si="21"/>
        <v>1</v>
      </c>
      <c r="AI99" s="1">
        <f t="shared" si="22"/>
        <v>0</v>
      </c>
    </row>
    <row r="100" spans="1:35" ht="14.25" customHeight="1" x14ac:dyDescent="0.25">
      <c r="A100" s="15">
        <v>0</v>
      </c>
      <c r="B100" s="15">
        <v>1</v>
      </c>
      <c r="C100" s="15">
        <v>3</v>
      </c>
      <c r="D100" s="16" t="s">
        <v>104</v>
      </c>
      <c r="E100" s="16" t="s">
        <v>171</v>
      </c>
      <c r="F100" s="16" t="s">
        <v>304</v>
      </c>
      <c r="G100" s="16" t="s">
        <v>39</v>
      </c>
      <c r="H100" s="16" t="s">
        <v>358</v>
      </c>
      <c r="I100" s="15" t="s">
        <v>452</v>
      </c>
      <c r="J100" s="15">
        <v>18</v>
      </c>
      <c r="K100" s="10" t="s">
        <v>706</v>
      </c>
      <c r="L100" s="10" t="s">
        <v>691</v>
      </c>
      <c r="M100" s="19" t="s">
        <v>695</v>
      </c>
      <c r="N100" s="17"/>
      <c r="Q100" s="16"/>
      <c r="S100" s="1">
        <f t="shared" si="35"/>
        <v>0</v>
      </c>
      <c r="T100" s="1">
        <f t="shared" si="36"/>
        <v>0</v>
      </c>
      <c r="U100" s="1">
        <f t="shared" si="37"/>
        <v>0</v>
      </c>
      <c r="V100" s="1">
        <f t="shared" si="38"/>
        <v>0</v>
      </c>
      <c r="W100" s="1">
        <f t="shared" si="39"/>
        <v>0</v>
      </c>
      <c r="X100" s="1">
        <f t="shared" si="40"/>
        <v>0</v>
      </c>
      <c r="Y100" s="1">
        <f t="shared" si="41"/>
        <v>0</v>
      </c>
      <c r="Z100" s="1">
        <f t="shared" si="42"/>
        <v>0</v>
      </c>
      <c r="AA100" s="1">
        <f t="shared" si="43"/>
        <v>0</v>
      </c>
      <c r="AB100" s="1">
        <f t="shared" si="44"/>
        <v>0</v>
      </c>
      <c r="AD100" s="1">
        <f t="shared" si="45"/>
        <v>0</v>
      </c>
      <c r="AE100" s="1">
        <f t="shared" si="46"/>
        <v>0</v>
      </c>
      <c r="AF100" s="1">
        <f t="shared" si="19"/>
        <v>0</v>
      </c>
      <c r="AG100" s="1">
        <f t="shared" si="20"/>
        <v>0</v>
      </c>
      <c r="AH100" s="1">
        <f t="shared" si="21"/>
        <v>0</v>
      </c>
      <c r="AI100" s="1">
        <f t="shared" si="22"/>
        <v>1</v>
      </c>
    </row>
    <row r="101" spans="1:35" ht="14.25" customHeight="1" x14ac:dyDescent="0.25">
      <c r="A101" s="47">
        <v>0</v>
      </c>
      <c r="B101" s="47">
        <v>1</v>
      </c>
      <c r="C101" s="47">
        <v>3</v>
      </c>
      <c r="D101" s="48" t="s">
        <v>518</v>
      </c>
      <c r="E101" s="48" t="s">
        <v>171</v>
      </c>
      <c r="F101" s="48" t="s">
        <v>519</v>
      </c>
      <c r="G101" s="48" t="s">
        <v>506</v>
      </c>
      <c r="H101" s="48" t="s">
        <v>355</v>
      </c>
      <c r="I101" s="47" t="s">
        <v>520</v>
      </c>
      <c r="J101" s="47">
        <v>99</v>
      </c>
      <c r="K101" s="49" t="s">
        <v>960</v>
      </c>
      <c r="L101" s="49" t="s">
        <v>698</v>
      </c>
      <c r="M101" s="50" t="s">
        <v>695</v>
      </c>
      <c r="N101" s="50" t="s">
        <v>1754</v>
      </c>
      <c r="O101" s="51"/>
      <c r="P101" s="51"/>
      <c r="Q101" s="48"/>
      <c r="S101" s="1">
        <f t="shared" si="35"/>
        <v>0</v>
      </c>
      <c r="T101" s="1">
        <f t="shared" si="36"/>
        <v>0</v>
      </c>
      <c r="U101" s="1">
        <f t="shared" si="37"/>
        <v>0</v>
      </c>
      <c r="V101" s="1">
        <f t="shared" si="38"/>
        <v>0</v>
      </c>
      <c r="W101" s="1">
        <f t="shared" si="39"/>
        <v>0</v>
      </c>
      <c r="X101" s="1">
        <f t="shared" si="40"/>
        <v>0</v>
      </c>
      <c r="Y101" s="1">
        <f t="shared" si="41"/>
        <v>0</v>
      </c>
      <c r="Z101" s="1">
        <f t="shared" si="42"/>
        <v>0</v>
      </c>
      <c r="AA101" s="1">
        <f t="shared" si="43"/>
        <v>0</v>
      </c>
      <c r="AB101" s="1">
        <f t="shared" si="44"/>
        <v>0</v>
      </c>
      <c r="AD101" s="1">
        <f t="shared" si="45"/>
        <v>0</v>
      </c>
      <c r="AE101" s="1">
        <f t="shared" si="46"/>
        <v>0</v>
      </c>
      <c r="AF101" s="1">
        <f t="shared" si="19"/>
        <v>0</v>
      </c>
      <c r="AG101" s="1">
        <f t="shared" si="20"/>
        <v>0</v>
      </c>
      <c r="AH101" s="1">
        <f t="shared" si="21"/>
        <v>0</v>
      </c>
      <c r="AI101" s="1">
        <f t="shared" si="22"/>
        <v>1</v>
      </c>
    </row>
    <row r="102" spans="1:35" ht="14.25" customHeight="1" x14ac:dyDescent="0.25">
      <c r="A102" s="15">
        <v>0</v>
      </c>
      <c r="B102" s="15">
        <v>1</v>
      </c>
      <c r="C102" s="15">
        <v>3</v>
      </c>
      <c r="D102" s="16" t="s">
        <v>1652</v>
      </c>
      <c r="E102" s="16" t="s">
        <v>1091</v>
      </c>
      <c r="F102" s="16" t="s">
        <v>1226</v>
      </c>
      <c r="G102" s="16" t="s">
        <v>39</v>
      </c>
      <c r="H102" s="16" t="s">
        <v>1227</v>
      </c>
      <c r="I102" s="15" t="s">
        <v>1228</v>
      </c>
      <c r="J102" s="15">
        <v>18</v>
      </c>
      <c r="K102" s="10" t="s">
        <v>962</v>
      </c>
      <c r="L102" s="10" t="s">
        <v>691</v>
      </c>
      <c r="M102" s="19" t="s">
        <v>974</v>
      </c>
      <c r="N102" s="17"/>
      <c r="Q102" s="16" t="s">
        <v>1891</v>
      </c>
      <c r="S102" s="1">
        <f t="shared" si="35"/>
        <v>0</v>
      </c>
      <c r="T102" s="1">
        <f t="shared" si="36"/>
        <v>0</v>
      </c>
      <c r="U102" s="1">
        <f t="shared" si="37"/>
        <v>0</v>
      </c>
      <c r="V102" s="1">
        <f t="shared" si="38"/>
        <v>0</v>
      </c>
      <c r="W102" s="1">
        <f t="shared" si="39"/>
        <v>0</v>
      </c>
      <c r="X102" s="1">
        <f t="shared" si="40"/>
        <v>0</v>
      </c>
      <c r="Y102" s="1">
        <f t="shared" si="41"/>
        <v>0</v>
      </c>
      <c r="Z102" s="1">
        <f t="shared" si="42"/>
        <v>0</v>
      </c>
      <c r="AA102" s="1">
        <f t="shared" si="43"/>
        <v>0</v>
      </c>
      <c r="AB102" s="1">
        <f t="shared" si="44"/>
        <v>0</v>
      </c>
      <c r="AD102" s="1">
        <f t="shared" si="45"/>
        <v>0</v>
      </c>
      <c r="AE102" s="1">
        <f t="shared" si="46"/>
        <v>0</v>
      </c>
      <c r="AF102" s="1">
        <f t="shared" si="19"/>
        <v>0</v>
      </c>
      <c r="AG102" s="1">
        <f t="shared" si="20"/>
        <v>0</v>
      </c>
      <c r="AH102" s="1">
        <f t="shared" si="21"/>
        <v>0</v>
      </c>
      <c r="AI102" s="1">
        <f t="shared" si="22"/>
        <v>1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1565</v>
      </c>
      <c r="E103" s="16" t="s">
        <v>171</v>
      </c>
      <c r="F103" s="16" t="s">
        <v>1684</v>
      </c>
      <c r="G103" s="16" t="s">
        <v>39</v>
      </c>
      <c r="H103" s="16" t="s">
        <v>358</v>
      </c>
      <c r="I103" s="15" t="s">
        <v>1566</v>
      </c>
      <c r="J103" s="15">
        <v>18</v>
      </c>
      <c r="K103" s="10" t="s">
        <v>726</v>
      </c>
      <c r="L103" s="10" t="s">
        <v>691</v>
      </c>
      <c r="M103" s="19" t="s">
        <v>695</v>
      </c>
      <c r="N103" s="17"/>
      <c r="Q103" s="16"/>
      <c r="S103" s="1">
        <f t="shared" si="35"/>
        <v>0</v>
      </c>
      <c r="T103" s="1">
        <f t="shared" si="36"/>
        <v>0</v>
      </c>
      <c r="U103" s="1">
        <f t="shared" si="37"/>
        <v>0</v>
      </c>
      <c r="V103" s="1">
        <f t="shared" si="38"/>
        <v>0</v>
      </c>
      <c r="W103" s="1">
        <f t="shared" si="39"/>
        <v>0</v>
      </c>
      <c r="X103" s="1">
        <f t="shared" si="40"/>
        <v>0</v>
      </c>
      <c r="Y103" s="1">
        <f t="shared" si="41"/>
        <v>0</v>
      </c>
      <c r="Z103" s="1">
        <f t="shared" si="42"/>
        <v>0</v>
      </c>
      <c r="AA103" s="1">
        <f t="shared" si="43"/>
        <v>0</v>
      </c>
      <c r="AB103" s="1">
        <f t="shared" si="44"/>
        <v>0</v>
      </c>
      <c r="AD103" s="1">
        <f t="shared" si="45"/>
        <v>0</v>
      </c>
      <c r="AE103" s="1">
        <f t="shared" si="46"/>
        <v>0</v>
      </c>
      <c r="AF103" s="1">
        <f t="shared" si="19"/>
        <v>0</v>
      </c>
      <c r="AG103" s="1">
        <f t="shared" si="20"/>
        <v>0</v>
      </c>
      <c r="AH103" s="1">
        <f t="shared" si="21"/>
        <v>0</v>
      </c>
      <c r="AI103" s="1">
        <f t="shared" si="22"/>
        <v>1</v>
      </c>
    </row>
    <row r="104" spans="1:35" ht="14.25" customHeight="1" x14ac:dyDescent="0.25">
      <c r="A104" s="34">
        <v>0</v>
      </c>
      <c r="B104" s="34">
        <v>1</v>
      </c>
      <c r="C104" s="34">
        <v>3</v>
      </c>
      <c r="D104" s="35" t="s">
        <v>1326</v>
      </c>
      <c r="E104" s="35" t="s">
        <v>176</v>
      </c>
      <c r="F104" s="35" t="s">
        <v>1347</v>
      </c>
      <c r="G104" s="35" t="s">
        <v>39</v>
      </c>
      <c r="H104" s="35" t="s">
        <v>355</v>
      </c>
      <c r="I104" s="34" t="s">
        <v>1140</v>
      </c>
      <c r="J104" s="34">
        <v>99</v>
      </c>
      <c r="K104" s="36" t="s">
        <v>706</v>
      </c>
      <c r="L104" s="36" t="s">
        <v>1706</v>
      </c>
      <c r="M104" s="37" t="s">
        <v>1399</v>
      </c>
      <c r="N104" s="37" t="s">
        <v>1756</v>
      </c>
      <c r="O104" s="38">
        <v>1</v>
      </c>
      <c r="P104" s="38"/>
      <c r="Q104" s="35"/>
      <c r="S104" s="1">
        <f t="shared" si="35"/>
        <v>0</v>
      </c>
      <c r="T104" s="1">
        <f t="shared" si="36"/>
        <v>0</v>
      </c>
      <c r="U104" s="1">
        <f t="shared" si="37"/>
        <v>0</v>
      </c>
      <c r="V104" s="1">
        <f t="shared" si="38"/>
        <v>0</v>
      </c>
      <c r="W104" s="1">
        <f t="shared" si="39"/>
        <v>0</v>
      </c>
      <c r="X104" s="1">
        <f t="shared" si="40"/>
        <v>0</v>
      </c>
      <c r="Y104" s="1">
        <f t="shared" si="41"/>
        <v>0</v>
      </c>
      <c r="Z104" s="1">
        <f t="shared" si="42"/>
        <v>0</v>
      </c>
      <c r="AA104" s="1">
        <f t="shared" si="43"/>
        <v>0</v>
      </c>
      <c r="AB104" s="1">
        <f t="shared" si="44"/>
        <v>0</v>
      </c>
      <c r="AD104" s="1">
        <f t="shared" si="45"/>
        <v>0</v>
      </c>
      <c r="AE104" s="1">
        <f t="shared" si="46"/>
        <v>1</v>
      </c>
      <c r="AF104" s="1">
        <f t="shared" si="19"/>
        <v>0</v>
      </c>
      <c r="AG104" s="1">
        <f t="shared" si="20"/>
        <v>1</v>
      </c>
      <c r="AH104" s="1">
        <f t="shared" si="21"/>
        <v>0</v>
      </c>
      <c r="AI104" s="1">
        <f t="shared" si="22"/>
        <v>1</v>
      </c>
    </row>
    <row r="105" spans="1:35" ht="14.25" customHeight="1" x14ac:dyDescent="0.25">
      <c r="A105" s="34">
        <v>0</v>
      </c>
      <c r="B105" s="34">
        <v>1</v>
      </c>
      <c r="C105" s="34">
        <v>3</v>
      </c>
      <c r="D105" s="35" t="s">
        <v>1270</v>
      </c>
      <c r="E105" s="35" t="s">
        <v>171</v>
      </c>
      <c r="F105" s="35" t="s">
        <v>1348</v>
      </c>
      <c r="G105" s="35" t="s">
        <v>1201</v>
      </c>
      <c r="H105" s="35" t="s">
        <v>355</v>
      </c>
      <c r="I105" s="34" t="s">
        <v>1202</v>
      </c>
      <c r="J105" s="34">
        <v>99</v>
      </c>
      <c r="K105" s="36" t="s">
        <v>726</v>
      </c>
      <c r="L105" s="36">
        <v>50</v>
      </c>
      <c r="M105" s="37" t="s">
        <v>39</v>
      </c>
      <c r="N105" s="37" t="s">
        <v>1808</v>
      </c>
      <c r="O105" s="38">
        <v>1</v>
      </c>
      <c r="P105" s="38"/>
      <c r="Q105" s="35"/>
      <c r="S105" s="1">
        <f t="shared" si="35"/>
        <v>0</v>
      </c>
      <c r="T105" s="1">
        <f t="shared" si="36"/>
        <v>0</v>
      </c>
      <c r="U105" s="1">
        <f t="shared" si="37"/>
        <v>0</v>
      </c>
      <c r="V105" s="1">
        <f t="shared" si="38"/>
        <v>0</v>
      </c>
      <c r="W105" s="1">
        <f t="shared" si="39"/>
        <v>0</v>
      </c>
      <c r="X105" s="1">
        <f t="shared" si="40"/>
        <v>0</v>
      </c>
      <c r="Y105" s="1">
        <f t="shared" si="41"/>
        <v>0</v>
      </c>
      <c r="Z105" s="1">
        <f t="shared" si="42"/>
        <v>0</v>
      </c>
      <c r="AA105" s="1">
        <f t="shared" si="43"/>
        <v>0</v>
      </c>
      <c r="AB105" s="1">
        <f t="shared" si="44"/>
        <v>0</v>
      </c>
      <c r="AD105" s="1">
        <f t="shared" si="45"/>
        <v>0</v>
      </c>
      <c r="AE105" s="1">
        <f t="shared" si="46"/>
        <v>1</v>
      </c>
      <c r="AF105" s="1">
        <f t="shared" si="19"/>
        <v>0</v>
      </c>
      <c r="AG105" s="1">
        <f t="shared" si="20"/>
        <v>1</v>
      </c>
      <c r="AH105" s="1">
        <f t="shared" si="21"/>
        <v>0</v>
      </c>
      <c r="AI105" s="1">
        <f t="shared" si="22"/>
        <v>1</v>
      </c>
    </row>
    <row r="106" spans="1:35" ht="14.25" customHeight="1" x14ac:dyDescent="0.25">
      <c r="A106" s="34">
        <v>0</v>
      </c>
      <c r="B106" s="34">
        <v>1</v>
      </c>
      <c r="C106" s="34">
        <v>3</v>
      </c>
      <c r="D106" s="35" t="s">
        <v>1023</v>
      </c>
      <c r="E106" s="35" t="s">
        <v>612</v>
      </c>
      <c r="F106" s="35" t="s">
        <v>1024</v>
      </c>
      <c r="G106" s="35" t="s">
        <v>1025</v>
      </c>
      <c r="H106" s="35" t="s">
        <v>355</v>
      </c>
      <c r="I106" s="34" t="s">
        <v>1026</v>
      </c>
      <c r="J106" s="34">
        <v>99</v>
      </c>
      <c r="K106" s="36" t="s">
        <v>960</v>
      </c>
      <c r="L106" s="36" t="s">
        <v>39</v>
      </c>
      <c r="M106" s="37" t="s">
        <v>39</v>
      </c>
      <c r="N106" s="37" t="s">
        <v>1740</v>
      </c>
      <c r="O106" s="38">
        <v>1</v>
      </c>
      <c r="P106" s="38">
        <v>1</v>
      </c>
      <c r="Q106" s="35"/>
      <c r="S106" s="1">
        <f t="shared" si="35"/>
        <v>0</v>
      </c>
      <c r="T106" s="1">
        <f t="shared" si="36"/>
        <v>0</v>
      </c>
      <c r="U106" s="1">
        <f t="shared" si="37"/>
        <v>0</v>
      </c>
      <c r="V106" s="1">
        <f t="shared" si="38"/>
        <v>0</v>
      </c>
      <c r="W106" s="1">
        <f t="shared" si="39"/>
        <v>0</v>
      </c>
      <c r="X106" s="1">
        <f t="shared" si="40"/>
        <v>0</v>
      </c>
      <c r="Y106" s="1">
        <f t="shared" si="41"/>
        <v>0</v>
      </c>
      <c r="Z106" s="1">
        <f t="shared" si="42"/>
        <v>0</v>
      </c>
      <c r="AA106" s="1">
        <f t="shared" si="43"/>
        <v>0</v>
      </c>
      <c r="AB106" s="1">
        <f t="shared" si="44"/>
        <v>0</v>
      </c>
      <c r="AD106" s="1">
        <f t="shared" si="45"/>
        <v>1</v>
      </c>
      <c r="AE106" s="1">
        <f t="shared" si="46"/>
        <v>0</v>
      </c>
      <c r="AF106" s="1">
        <f t="shared" si="19"/>
        <v>1</v>
      </c>
      <c r="AG106" s="1">
        <f t="shared" si="20"/>
        <v>0</v>
      </c>
      <c r="AH106" s="1">
        <f t="shared" si="21"/>
        <v>1</v>
      </c>
      <c r="AI106" s="1">
        <f t="shared" si="22"/>
        <v>0</v>
      </c>
    </row>
    <row r="107" spans="1:35" ht="14.25" customHeight="1" x14ac:dyDescent="0.25">
      <c r="A107" s="34">
        <v>0</v>
      </c>
      <c r="B107" s="34">
        <v>1</v>
      </c>
      <c r="C107" s="34">
        <v>3</v>
      </c>
      <c r="D107" s="35" t="s">
        <v>141</v>
      </c>
      <c r="E107" s="35" t="s">
        <v>176</v>
      </c>
      <c r="F107" s="35" t="s">
        <v>343</v>
      </c>
      <c r="G107" s="35" t="s">
        <v>39</v>
      </c>
      <c r="H107" s="35" t="s">
        <v>377</v>
      </c>
      <c r="I107" s="34" t="s">
        <v>490</v>
      </c>
      <c r="J107" s="34">
        <v>16</v>
      </c>
      <c r="K107" s="36" t="s">
        <v>706</v>
      </c>
      <c r="L107" s="36" t="s">
        <v>691</v>
      </c>
      <c r="M107" s="37" t="s">
        <v>1400</v>
      </c>
      <c r="N107" s="37" t="s">
        <v>1755</v>
      </c>
      <c r="O107" s="38">
        <v>1</v>
      </c>
      <c r="P107" s="38"/>
      <c r="Q107" s="35"/>
      <c r="S107" s="1">
        <f t="shared" si="35"/>
        <v>0</v>
      </c>
      <c r="T107" s="1">
        <f t="shared" si="36"/>
        <v>0</v>
      </c>
      <c r="U107" s="1">
        <f t="shared" si="37"/>
        <v>0</v>
      </c>
      <c r="V107" s="1">
        <f t="shared" si="38"/>
        <v>0</v>
      </c>
      <c r="W107" s="1">
        <f t="shared" si="39"/>
        <v>0</v>
      </c>
      <c r="X107" s="1">
        <f t="shared" si="40"/>
        <v>0</v>
      </c>
      <c r="Y107" s="1">
        <f t="shared" si="41"/>
        <v>0</v>
      </c>
      <c r="Z107" s="1">
        <f t="shared" si="42"/>
        <v>0</v>
      </c>
      <c r="AA107" s="1">
        <f t="shared" si="43"/>
        <v>0</v>
      </c>
      <c r="AB107" s="1">
        <f t="shared" si="44"/>
        <v>0</v>
      </c>
      <c r="AD107" s="1">
        <f t="shared" si="45"/>
        <v>0</v>
      </c>
      <c r="AE107" s="1">
        <f t="shared" si="46"/>
        <v>1</v>
      </c>
      <c r="AF107" s="1">
        <f t="shared" si="19"/>
        <v>0</v>
      </c>
      <c r="AG107" s="1">
        <f t="shared" si="20"/>
        <v>1</v>
      </c>
      <c r="AH107" s="1">
        <f t="shared" si="21"/>
        <v>0</v>
      </c>
      <c r="AI107" s="1">
        <f t="shared" si="22"/>
        <v>1</v>
      </c>
    </row>
    <row r="108" spans="1:35" ht="14.25" customHeight="1" x14ac:dyDescent="0.25">
      <c r="A108" s="34">
        <v>0</v>
      </c>
      <c r="B108" s="34">
        <v>1</v>
      </c>
      <c r="C108" s="34">
        <v>3</v>
      </c>
      <c r="D108" s="35" t="s">
        <v>821</v>
      </c>
      <c r="E108" s="35" t="s">
        <v>173</v>
      </c>
      <c r="F108" s="35" t="s">
        <v>822</v>
      </c>
      <c r="G108" s="35" t="s">
        <v>39</v>
      </c>
      <c r="H108" s="35" t="s">
        <v>823</v>
      </c>
      <c r="I108" s="34" t="s">
        <v>824</v>
      </c>
      <c r="J108" s="34">
        <v>16</v>
      </c>
      <c r="K108" s="36" t="s">
        <v>706</v>
      </c>
      <c r="L108" s="36" t="s">
        <v>691</v>
      </c>
      <c r="M108" s="37" t="s">
        <v>1400</v>
      </c>
      <c r="N108" s="37" t="s">
        <v>1734</v>
      </c>
      <c r="O108" s="38">
        <v>1</v>
      </c>
      <c r="P108" s="38">
        <v>1</v>
      </c>
      <c r="Q108" s="35"/>
      <c r="S108" s="1">
        <f t="shared" si="35"/>
        <v>0</v>
      </c>
      <c r="T108" s="1">
        <f t="shared" si="36"/>
        <v>0</v>
      </c>
      <c r="U108" s="1">
        <f t="shared" si="37"/>
        <v>0</v>
      </c>
      <c r="V108" s="1">
        <f t="shared" si="38"/>
        <v>0</v>
      </c>
      <c r="W108" s="1">
        <f t="shared" si="39"/>
        <v>0</v>
      </c>
      <c r="X108" s="1">
        <f t="shared" si="40"/>
        <v>0</v>
      </c>
      <c r="Y108" s="1">
        <f t="shared" si="41"/>
        <v>0</v>
      </c>
      <c r="Z108" s="1">
        <f t="shared" si="42"/>
        <v>0</v>
      </c>
      <c r="AA108" s="1">
        <f t="shared" si="43"/>
        <v>0</v>
      </c>
      <c r="AB108" s="1">
        <f t="shared" si="44"/>
        <v>0</v>
      </c>
      <c r="AD108" s="1">
        <f t="shared" si="45"/>
        <v>1</v>
      </c>
      <c r="AE108" s="1">
        <f t="shared" si="46"/>
        <v>0</v>
      </c>
      <c r="AF108" s="1">
        <f t="shared" si="19"/>
        <v>1</v>
      </c>
      <c r="AG108" s="1">
        <f t="shared" si="20"/>
        <v>0</v>
      </c>
      <c r="AH108" s="1">
        <f t="shared" si="21"/>
        <v>1</v>
      </c>
      <c r="AI108" s="1">
        <f t="shared" si="22"/>
        <v>0</v>
      </c>
    </row>
    <row r="109" spans="1:35" ht="14.25" customHeight="1" x14ac:dyDescent="0.25">
      <c r="A109" s="15">
        <v>0</v>
      </c>
      <c r="B109" s="15">
        <v>1</v>
      </c>
      <c r="C109" s="15">
        <v>3</v>
      </c>
      <c r="D109" s="16" t="s">
        <v>108</v>
      </c>
      <c r="E109" s="16" t="s">
        <v>171</v>
      </c>
      <c r="F109" s="16" t="s">
        <v>307</v>
      </c>
      <c r="G109" s="16" t="s">
        <v>39</v>
      </c>
      <c r="H109" s="16" t="s">
        <v>362</v>
      </c>
      <c r="I109" s="15" t="s">
        <v>456</v>
      </c>
      <c r="J109" s="15">
        <v>18</v>
      </c>
      <c r="K109" s="10" t="s">
        <v>707</v>
      </c>
      <c r="L109" s="10" t="s">
        <v>691</v>
      </c>
      <c r="M109" s="19" t="s">
        <v>695</v>
      </c>
      <c r="N109" s="17"/>
      <c r="Q109" s="20" t="s">
        <v>1890</v>
      </c>
      <c r="S109" s="1">
        <f t="shared" si="35"/>
        <v>0</v>
      </c>
      <c r="T109" s="1">
        <f t="shared" si="36"/>
        <v>0</v>
      </c>
      <c r="U109" s="1">
        <f t="shared" si="37"/>
        <v>0</v>
      </c>
      <c r="V109" s="1">
        <f t="shared" si="38"/>
        <v>0</v>
      </c>
      <c r="W109" s="1">
        <f t="shared" si="39"/>
        <v>0</v>
      </c>
      <c r="X109" s="1">
        <f t="shared" si="40"/>
        <v>0</v>
      </c>
      <c r="Y109" s="1">
        <f t="shared" si="41"/>
        <v>0</v>
      </c>
      <c r="Z109" s="1">
        <f t="shared" si="42"/>
        <v>0</v>
      </c>
      <c r="AA109" s="1">
        <f t="shared" si="43"/>
        <v>0</v>
      </c>
      <c r="AB109" s="1">
        <f t="shared" si="44"/>
        <v>0</v>
      </c>
      <c r="AD109" s="1">
        <f t="shared" si="45"/>
        <v>0</v>
      </c>
      <c r="AE109" s="1">
        <f t="shared" si="46"/>
        <v>0</v>
      </c>
      <c r="AF109" s="1">
        <f t="shared" si="19"/>
        <v>0</v>
      </c>
      <c r="AG109" s="1">
        <f t="shared" si="20"/>
        <v>0</v>
      </c>
      <c r="AH109" s="1">
        <f t="shared" si="21"/>
        <v>0</v>
      </c>
      <c r="AI109" s="1">
        <f t="shared" si="22"/>
        <v>1</v>
      </c>
    </row>
    <row r="110" spans="1:35" ht="14.25" customHeight="1" x14ac:dyDescent="0.25">
      <c r="A110" s="47">
        <v>0</v>
      </c>
      <c r="B110" s="47">
        <v>1</v>
      </c>
      <c r="C110" s="47">
        <v>3</v>
      </c>
      <c r="D110" s="48" t="s">
        <v>1512</v>
      </c>
      <c r="E110" s="48" t="s">
        <v>171</v>
      </c>
      <c r="F110" s="48" t="s">
        <v>1513</v>
      </c>
      <c r="G110" s="48" t="s">
        <v>39</v>
      </c>
      <c r="H110" s="48" t="s">
        <v>375</v>
      </c>
      <c r="I110" s="47" t="s">
        <v>1514</v>
      </c>
      <c r="J110" s="47">
        <v>11</v>
      </c>
      <c r="K110" s="49" t="s">
        <v>726</v>
      </c>
      <c r="L110" s="49">
        <v>50</v>
      </c>
      <c r="M110" s="50" t="s">
        <v>39</v>
      </c>
      <c r="N110" s="50" t="s">
        <v>1741</v>
      </c>
      <c r="O110" s="51"/>
      <c r="P110" s="51"/>
      <c r="Q110" s="48"/>
      <c r="S110" s="1">
        <f t="shared" si="35"/>
        <v>0</v>
      </c>
      <c r="T110" s="1">
        <f t="shared" si="36"/>
        <v>0</v>
      </c>
      <c r="U110" s="1">
        <f t="shared" si="37"/>
        <v>0</v>
      </c>
      <c r="V110" s="1">
        <f t="shared" si="38"/>
        <v>0</v>
      </c>
      <c r="W110" s="1">
        <f t="shared" si="39"/>
        <v>0</v>
      </c>
      <c r="X110" s="1">
        <f t="shared" si="40"/>
        <v>0</v>
      </c>
      <c r="Y110" s="1">
        <f t="shared" si="41"/>
        <v>0</v>
      </c>
      <c r="Z110" s="1">
        <f t="shared" si="42"/>
        <v>0</v>
      </c>
      <c r="AA110" s="1">
        <f t="shared" si="43"/>
        <v>0</v>
      </c>
      <c r="AB110" s="1">
        <f t="shared" si="44"/>
        <v>0</v>
      </c>
      <c r="AD110" s="1">
        <f t="shared" si="45"/>
        <v>0</v>
      </c>
      <c r="AE110" s="1">
        <f t="shared" si="46"/>
        <v>0</v>
      </c>
      <c r="AF110" s="1">
        <f t="shared" si="19"/>
        <v>0</v>
      </c>
      <c r="AG110" s="1">
        <f t="shared" si="20"/>
        <v>0</v>
      </c>
      <c r="AH110" s="1">
        <f t="shared" si="21"/>
        <v>0</v>
      </c>
      <c r="AI110" s="1">
        <f t="shared" si="22"/>
        <v>1</v>
      </c>
    </row>
    <row r="111" spans="1:35" ht="14.25" customHeight="1" x14ac:dyDescent="0.25">
      <c r="A111" s="47">
        <v>0</v>
      </c>
      <c r="B111" s="47">
        <v>1</v>
      </c>
      <c r="C111" s="47">
        <v>3</v>
      </c>
      <c r="D111" s="48" t="s">
        <v>107</v>
      </c>
      <c r="E111" s="48" t="s">
        <v>171</v>
      </c>
      <c r="F111" s="48" t="s">
        <v>306</v>
      </c>
      <c r="G111" s="48" t="s">
        <v>39</v>
      </c>
      <c r="H111" s="48" t="s">
        <v>361</v>
      </c>
      <c r="I111" s="47" t="s">
        <v>455</v>
      </c>
      <c r="J111" s="47">
        <v>18</v>
      </c>
      <c r="K111" s="49" t="s">
        <v>706</v>
      </c>
      <c r="L111" s="49">
        <v>55</v>
      </c>
      <c r="M111" s="50" t="s">
        <v>695</v>
      </c>
      <c r="N111" s="50" t="s">
        <v>1741</v>
      </c>
      <c r="O111" s="51"/>
      <c r="P111" s="51"/>
      <c r="Q111" s="48"/>
      <c r="S111" s="1">
        <f t="shared" si="35"/>
        <v>0</v>
      </c>
      <c r="T111" s="1">
        <f t="shared" si="36"/>
        <v>0</v>
      </c>
      <c r="U111" s="1">
        <f t="shared" si="37"/>
        <v>0</v>
      </c>
      <c r="V111" s="1">
        <f t="shared" si="38"/>
        <v>0</v>
      </c>
      <c r="W111" s="1">
        <f t="shared" si="39"/>
        <v>0</v>
      </c>
      <c r="X111" s="1">
        <f t="shared" si="40"/>
        <v>0</v>
      </c>
      <c r="Y111" s="1">
        <f t="shared" si="41"/>
        <v>0</v>
      </c>
      <c r="Z111" s="1">
        <f t="shared" si="42"/>
        <v>0</v>
      </c>
      <c r="AA111" s="1">
        <f t="shared" si="43"/>
        <v>0</v>
      </c>
      <c r="AB111" s="1">
        <f t="shared" si="44"/>
        <v>0</v>
      </c>
      <c r="AD111" s="1">
        <f t="shared" si="45"/>
        <v>0</v>
      </c>
      <c r="AE111" s="1">
        <f t="shared" si="46"/>
        <v>0</v>
      </c>
      <c r="AF111" s="1">
        <f t="shared" si="19"/>
        <v>0</v>
      </c>
      <c r="AG111" s="1">
        <f t="shared" si="20"/>
        <v>0</v>
      </c>
      <c r="AH111" s="1">
        <f t="shared" si="21"/>
        <v>0</v>
      </c>
      <c r="AI111" s="1">
        <f t="shared" si="22"/>
        <v>1</v>
      </c>
    </row>
    <row r="112" spans="1:35" ht="14.25" customHeight="1" x14ac:dyDescent="0.25">
      <c r="A112" s="34">
        <v>0</v>
      </c>
      <c r="B112" s="34">
        <v>1</v>
      </c>
      <c r="C112" s="34">
        <v>3</v>
      </c>
      <c r="D112" s="35" t="s">
        <v>128</v>
      </c>
      <c r="E112" s="35" t="s">
        <v>176</v>
      </c>
      <c r="F112" s="35" t="s">
        <v>330</v>
      </c>
      <c r="G112" s="35" t="s">
        <v>39</v>
      </c>
      <c r="H112" s="35" t="s">
        <v>376</v>
      </c>
      <c r="I112" s="34" t="s">
        <v>478</v>
      </c>
      <c r="J112" s="34">
        <v>12</v>
      </c>
      <c r="K112" s="36" t="s">
        <v>706</v>
      </c>
      <c r="L112" s="36">
        <v>35</v>
      </c>
      <c r="M112" s="37" t="s">
        <v>695</v>
      </c>
      <c r="N112" s="37" t="s">
        <v>1756</v>
      </c>
      <c r="O112" s="38">
        <v>1</v>
      </c>
      <c r="P112" s="38"/>
      <c r="Q112" s="35"/>
      <c r="S112" s="1">
        <f t="shared" si="35"/>
        <v>0</v>
      </c>
      <c r="T112" s="1">
        <f t="shared" si="36"/>
        <v>0</v>
      </c>
      <c r="U112" s="1">
        <f t="shared" si="37"/>
        <v>0</v>
      </c>
      <c r="V112" s="1">
        <f t="shared" si="38"/>
        <v>0</v>
      </c>
      <c r="W112" s="1">
        <f t="shared" si="39"/>
        <v>0</v>
      </c>
      <c r="X112" s="1">
        <f t="shared" si="40"/>
        <v>0</v>
      </c>
      <c r="Y112" s="1">
        <f t="shared" si="41"/>
        <v>0</v>
      </c>
      <c r="Z112" s="1">
        <f t="shared" si="42"/>
        <v>0</v>
      </c>
      <c r="AA112" s="1">
        <f t="shared" si="43"/>
        <v>0</v>
      </c>
      <c r="AB112" s="1">
        <f t="shared" si="44"/>
        <v>0</v>
      </c>
      <c r="AD112" s="1">
        <f t="shared" si="45"/>
        <v>0</v>
      </c>
      <c r="AE112" s="1">
        <f t="shared" si="46"/>
        <v>1</v>
      </c>
      <c r="AF112" s="1">
        <f t="shared" si="19"/>
        <v>0</v>
      </c>
      <c r="AG112" s="1">
        <f t="shared" si="20"/>
        <v>1</v>
      </c>
      <c r="AH112" s="1">
        <f t="shared" si="21"/>
        <v>0</v>
      </c>
      <c r="AI112" s="1">
        <f t="shared" si="22"/>
        <v>1</v>
      </c>
    </row>
    <row r="113" spans="1:36" ht="14.25" customHeight="1" x14ac:dyDescent="0.25">
      <c r="A113" s="47">
        <v>0</v>
      </c>
      <c r="B113" s="47">
        <v>1</v>
      </c>
      <c r="C113" s="47">
        <v>3</v>
      </c>
      <c r="D113" s="48" t="s">
        <v>998</v>
      </c>
      <c r="E113" s="48" t="s">
        <v>171</v>
      </c>
      <c r="F113" s="48" t="s">
        <v>1097</v>
      </c>
      <c r="G113" s="48" t="s">
        <v>233</v>
      </c>
      <c r="H113" s="48" t="s">
        <v>355</v>
      </c>
      <c r="I113" s="47" t="s">
        <v>999</v>
      </c>
      <c r="J113" s="47">
        <v>99</v>
      </c>
      <c r="K113" s="49" t="s">
        <v>960</v>
      </c>
      <c r="L113" s="49">
        <v>40</v>
      </c>
      <c r="M113" s="50" t="s">
        <v>39</v>
      </c>
      <c r="N113" s="50" t="s">
        <v>1754</v>
      </c>
      <c r="O113" s="51"/>
      <c r="P113" s="51"/>
      <c r="Q113" s="48"/>
      <c r="S113" s="1">
        <f t="shared" si="35"/>
        <v>0</v>
      </c>
      <c r="T113" s="1">
        <f t="shared" si="36"/>
        <v>0</v>
      </c>
      <c r="U113" s="1">
        <f t="shared" si="37"/>
        <v>0</v>
      </c>
      <c r="V113" s="1">
        <f t="shared" si="38"/>
        <v>0</v>
      </c>
      <c r="W113" s="1">
        <f t="shared" si="39"/>
        <v>0</v>
      </c>
      <c r="X113" s="1">
        <f t="shared" si="40"/>
        <v>0</v>
      </c>
      <c r="Y113" s="1">
        <f t="shared" si="41"/>
        <v>0</v>
      </c>
      <c r="Z113" s="1">
        <f t="shared" si="42"/>
        <v>0</v>
      </c>
      <c r="AA113" s="1">
        <f t="shared" si="43"/>
        <v>0</v>
      </c>
      <c r="AB113" s="1">
        <f t="shared" si="44"/>
        <v>0</v>
      </c>
      <c r="AD113" s="1">
        <f t="shared" si="45"/>
        <v>0</v>
      </c>
      <c r="AE113" s="1">
        <f t="shared" si="46"/>
        <v>0</v>
      </c>
      <c r="AF113" s="1">
        <f t="shared" si="19"/>
        <v>0</v>
      </c>
      <c r="AG113" s="1">
        <f t="shared" si="20"/>
        <v>0</v>
      </c>
      <c r="AH113" s="1">
        <f t="shared" si="21"/>
        <v>0</v>
      </c>
      <c r="AI113" s="1">
        <f t="shared" si="22"/>
        <v>1</v>
      </c>
    </row>
    <row r="114" spans="1:36" ht="14.25" customHeight="1" x14ac:dyDescent="0.25">
      <c r="A114" s="41">
        <v>0</v>
      </c>
      <c r="B114" s="41">
        <v>1</v>
      </c>
      <c r="C114" s="41">
        <v>3</v>
      </c>
      <c r="D114" s="42" t="s">
        <v>129</v>
      </c>
      <c r="E114" s="42" t="s">
        <v>171</v>
      </c>
      <c r="F114" s="42" t="s">
        <v>331</v>
      </c>
      <c r="G114" s="42" t="s">
        <v>39</v>
      </c>
      <c r="H114" s="42" t="s">
        <v>372</v>
      </c>
      <c r="I114" s="41" t="s">
        <v>479</v>
      </c>
      <c r="J114" s="41">
        <v>11</v>
      </c>
      <c r="K114" s="43" t="s">
        <v>706</v>
      </c>
      <c r="L114" s="43" t="s">
        <v>39</v>
      </c>
      <c r="M114" s="44" t="s">
        <v>39</v>
      </c>
      <c r="N114" s="45"/>
      <c r="O114" s="46"/>
      <c r="P114" s="46">
        <v>1</v>
      </c>
      <c r="Q114" s="42"/>
      <c r="S114" s="1">
        <f t="shared" si="35"/>
        <v>0</v>
      </c>
      <c r="T114" s="1">
        <f t="shared" si="36"/>
        <v>0</v>
      </c>
      <c r="U114" s="1">
        <f t="shared" si="37"/>
        <v>0</v>
      </c>
      <c r="V114" s="1">
        <f t="shared" si="38"/>
        <v>0</v>
      </c>
      <c r="W114" s="1">
        <f t="shared" si="39"/>
        <v>0</v>
      </c>
      <c r="X114" s="1">
        <f t="shared" si="40"/>
        <v>0</v>
      </c>
      <c r="Y114" s="1">
        <f t="shared" si="41"/>
        <v>0</v>
      </c>
      <c r="Z114" s="1">
        <f t="shared" si="42"/>
        <v>0</v>
      </c>
      <c r="AA114" s="1">
        <f t="shared" si="43"/>
        <v>0</v>
      </c>
      <c r="AB114" s="1">
        <f t="shared" si="44"/>
        <v>0</v>
      </c>
      <c r="AD114" s="1">
        <f t="shared" si="45"/>
        <v>0</v>
      </c>
      <c r="AE114" s="1">
        <f t="shared" si="46"/>
        <v>0</v>
      </c>
      <c r="AF114" s="1">
        <f t="shared" si="19"/>
        <v>0</v>
      </c>
      <c r="AG114" s="1">
        <f t="shared" si="20"/>
        <v>0</v>
      </c>
      <c r="AH114" s="1">
        <f t="shared" si="21"/>
        <v>1</v>
      </c>
      <c r="AI114" s="1">
        <f t="shared" si="22"/>
        <v>0</v>
      </c>
    </row>
    <row r="115" spans="1:36" ht="14.25" customHeight="1" x14ac:dyDescent="0.25">
      <c r="A115" s="15">
        <v>0</v>
      </c>
      <c r="B115" s="15">
        <v>1</v>
      </c>
      <c r="C115" s="15">
        <v>3</v>
      </c>
      <c r="D115" s="16" t="s">
        <v>1327</v>
      </c>
      <c r="E115" s="16" t="s">
        <v>173</v>
      </c>
      <c r="F115" s="16" t="s">
        <v>1350</v>
      </c>
      <c r="G115" s="16" t="s">
        <v>39</v>
      </c>
      <c r="H115" s="16" t="s">
        <v>992</v>
      </c>
      <c r="I115" s="15" t="s">
        <v>993</v>
      </c>
      <c r="J115" s="15">
        <v>14</v>
      </c>
      <c r="K115" s="10" t="s">
        <v>707</v>
      </c>
      <c r="L115" s="10">
        <v>30</v>
      </c>
      <c r="M115" s="19" t="s">
        <v>975</v>
      </c>
      <c r="N115" s="17"/>
      <c r="Q115" s="16"/>
      <c r="S115" s="1">
        <f t="shared" si="35"/>
        <v>0</v>
      </c>
      <c r="T115" s="1">
        <f t="shared" si="36"/>
        <v>0</v>
      </c>
      <c r="U115" s="1">
        <f t="shared" si="37"/>
        <v>0</v>
      </c>
      <c r="V115" s="1">
        <f t="shared" si="38"/>
        <v>0</v>
      </c>
      <c r="W115" s="1">
        <f t="shared" si="39"/>
        <v>0</v>
      </c>
      <c r="X115" s="1">
        <f t="shared" si="40"/>
        <v>0</v>
      </c>
      <c r="Y115" s="1">
        <f t="shared" si="41"/>
        <v>0</v>
      </c>
      <c r="Z115" s="1">
        <f t="shared" si="42"/>
        <v>0</v>
      </c>
      <c r="AA115" s="1">
        <f t="shared" si="43"/>
        <v>0</v>
      </c>
      <c r="AB115" s="1">
        <f t="shared" si="44"/>
        <v>0</v>
      </c>
      <c r="AD115" s="1">
        <f t="shared" si="45"/>
        <v>0</v>
      </c>
      <c r="AE115" s="1">
        <f t="shared" si="46"/>
        <v>0</v>
      </c>
      <c r="AF115" s="1">
        <f t="shared" si="19"/>
        <v>0</v>
      </c>
      <c r="AG115" s="1">
        <f t="shared" si="20"/>
        <v>0</v>
      </c>
      <c r="AH115" s="1">
        <f t="shared" si="21"/>
        <v>0</v>
      </c>
      <c r="AI115" s="1">
        <f t="shared" si="22"/>
        <v>1</v>
      </c>
    </row>
    <row r="116" spans="1:36" ht="14.25" customHeight="1" x14ac:dyDescent="0.25">
      <c r="A116" s="47">
        <v>0</v>
      </c>
      <c r="B116" s="47">
        <v>1</v>
      </c>
      <c r="C116" s="47">
        <v>3</v>
      </c>
      <c r="D116" s="48" t="s">
        <v>703</v>
      </c>
      <c r="E116" s="48" t="s">
        <v>176</v>
      </c>
      <c r="F116" s="48" t="s">
        <v>704</v>
      </c>
      <c r="G116" s="48" t="s">
        <v>39</v>
      </c>
      <c r="H116" s="48" t="s">
        <v>705</v>
      </c>
      <c r="I116" s="47" t="s">
        <v>1119</v>
      </c>
      <c r="J116" s="47">
        <v>13</v>
      </c>
      <c r="K116" s="49" t="s">
        <v>706</v>
      </c>
      <c r="L116" s="49" t="s">
        <v>1706</v>
      </c>
      <c r="M116" s="50" t="s">
        <v>974</v>
      </c>
      <c r="N116" s="50" t="s">
        <v>1809</v>
      </c>
      <c r="O116" s="51"/>
      <c r="P116" s="51"/>
      <c r="Q116" s="48"/>
      <c r="S116" s="1">
        <f t="shared" si="35"/>
        <v>0</v>
      </c>
      <c r="T116" s="1">
        <f t="shared" si="36"/>
        <v>0</v>
      </c>
      <c r="U116" s="1">
        <f t="shared" si="37"/>
        <v>0</v>
      </c>
      <c r="V116" s="1">
        <f t="shared" si="38"/>
        <v>0</v>
      </c>
      <c r="W116" s="1">
        <f t="shared" si="39"/>
        <v>0</v>
      </c>
      <c r="X116" s="1">
        <f t="shared" si="40"/>
        <v>0</v>
      </c>
      <c r="Y116" s="1">
        <f t="shared" si="41"/>
        <v>0</v>
      </c>
      <c r="Z116" s="1">
        <f t="shared" si="42"/>
        <v>0</v>
      </c>
      <c r="AA116" s="1">
        <f t="shared" si="43"/>
        <v>0</v>
      </c>
      <c r="AB116" s="1">
        <f t="shared" si="44"/>
        <v>0</v>
      </c>
      <c r="AD116" s="1">
        <f t="shared" si="45"/>
        <v>0</v>
      </c>
      <c r="AE116" s="1">
        <f t="shared" si="46"/>
        <v>0</v>
      </c>
      <c r="AF116" s="1">
        <f t="shared" si="19"/>
        <v>0</v>
      </c>
      <c r="AG116" s="1">
        <f t="shared" si="20"/>
        <v>0</v>
      </c>
      <c r="AH116" s="1">
        <f t="shared" si="21"/>
        <v>0</v>
      </c>
      <c r="AI116" s="1">
        <f t="shared" si="22"/>
        <v>1</v>
      </c>
    </row>
    <row r="117" spans="1:36" ht="14.25" customHeight="1" x14ac:dyDescent="0.25">
      <c r="A117" s="34">
        <v>0</v>
      </c>
      <c r="B117" s="34">
        <v>1</v>
      </c>
      <c r="C117" s="34">
        <v>3</v>
      </c>
      <c r="D117" s="35" t="s">
        <v>1527</v>
      </c>
      <c r="E117" s="35" t="s">
        <v>171</v>
      </c>
      <c r="F117" s="35" t="s">
        <v>1674</v>
      </c>
      <c r="G117" s="35" t="s">
        <v>39</v>
      </c>
      <c r="H117" s="35" t="s">
        <v>1528</v>
      </c>
      <c r="I117" s="34" t="s">
        <v>1529</v>
      </c>
      <c r="J117" s="34">
        <v>11</v>
      </c>
      <c r="K117" s="36" t="s">
        <v>726</v>
      </c>
      <c r="L117" s="36">
        <v>40</v>
      </c>
      <c r="M117" s="37" t="s">
        <v>39</v>
      </c>
      <c r="N117" s="37" t="s">
        <v>1734</v>
      </c>
      <c r="O117" s="38">
        <v>1</v>
      </c>
      <c r="P117" s="38">
        <v>1</v>
      </c>
      <c r="Q117" s="35"/>
      <c r="S117" s="1">
        <f t="shared" si="35"/>
        <v>0</v>
      </c>
      <c r="T117" s="1">
        <f t="shared" si="36"/>
        <v>0</v>
      </c>
      <c r="U117" s="1">
        <f t="shared" si="37"/>
        <v>0</v>
      </c>
      <c r="V117" s="1">
        <f t="shared" si="38"/>
        <v>0</v>
      </c>
      <c r="W117" s="1">
        <f t="shared" si="39"/>
        <v>0</v>
      </c>
      <c r="X117" s="1">
        <f t="shared" si="40"/>
        <v>0</v>
      </c>
      <c r="Y117" s="1">
        <f t="shared" si="41"/>
        <v>0</v>
      </c>
      <c r="Z117" s="1">
        <f t="shared" si="42"/>
        <v>0</v>
      </c>
      <c r="AA117" s="1">
        <f t="shared" si="43"/>
        <v>0</v>
      </c>
      <c r="AB117" s="1">
        <f t="shared" si="44"/>
        <v>0</v>
      </c>
      <c r="AD117" s="1">
        <f t="shared" si="45"/>
        <v>1</v>
      </c>
      <c r="AE117" s="1">
        <f t="shared" si="46"/>
        <v>0</v>
      </c>
      <c r="AF117" s="1">
        <f t="shared" si="19"/>
        <v>1</v>
      </c>
      <c r="AG117" s="1">
        <f t="shared" si="20"/>
        <v>0</v>
      </c>
      <c r="AH117" s="1">
        <f t="shared" si="21"/>
        <v>1</v>
      </c>
      <c r="AI117" s="1">
        <f t="shared" si="22"/>
        <v>0</v>
      </c>
    </row>
    <row r="118" spans="1:36" ht="14.25" customHeight="1" x14ac:dyDescent="0.25">
      <c r="A118" s="15">
        <v>0</v>
      </c>
      <c r="B118" s="15">
        <v>1</v>
      </c>
      <c r="C118" s="15">
        <v>3</v>
      </c>
      <c r="D118" s="16" t="s">
        <v>146</v>
      </c>
      <c r="E118" s="16" t="s">
        <v>173</v>
      </c>
      <c r="F118" s="16" t="s">
        <v>349</v>
      </c>
      <c r="G118" s="16" t="s">
        <v>39</v>
      </c>
      <c r="H118" s="16" t="s">
        <v>368</v>
      </c>
      <c r="I118" s="15" t="s">
        <v>494</v>
      </c>
      <c r="J118" s="15">
        <v>18</v>
      </c>
      <c r="K118" s="10" t="s">
        <v>960</v>
      </c>
      <c r="L118" s="10" t="s">
        <v>701</v>
      </c>
      <c r="M118" s="19" t="s">
        <v>974</v>
      </c>
      <c r="N118" s="17"/>
      <c r="Q118" s="16"/>
      <c r="S118" s="1">
        <f t="shared" si="35"/>
        <v>0</v>
      </c>
      <c r="T118" s="1">
        <f t="shared" si="36"/>
        <v>0</v>
      </c>
      <c r="U118" s="1">
        <f t="shared" si="37"/>
        <v>0</v>
      </c>
      <c r="V118" s="1">
        <f t="shared" si="38"/>
        <v>0</v>
      </c>
      <c r="W118" s="1">
        <f t="shared" si="39"/>
        <v>0</v>
      </c>
      <c r="X118" s="1">
        <f t="shared" si="40"/>
        <v>0</v>
      </c>
      <c r="Y118" s="1">
        <f t="shared" si="41"/>
        <v>0</v>
      </c>
      <c r="Z118" s="1">
        <f t="shared" si="42"/>
        <v>0</v>
      </c>
      <c r="AA118" s="1">
        <f t="shared" si="43"/>
        <v>0</v>
      </c>
      <c r="AB118" s="1">
        <f t="shared" si="44"/>
        <v>0</v>
      </c>
      <c r="AD118" s="1">
        <f t="shared" si="45"/>
        <v>0</v>
      </c>
      <c r="AE118" s="1">
        <f t="shared" si="46"/>
        <v>0</v>
      </c>
      <c r="AF118" s="1">
        <f t="shared" si="19"/>
        <v>0</v>
      </c>
      <c r="AG118" s="1">
        <f t="shared" si="20"/>
        <v>0</v>
      </c>
      <c r="AH118" s="1">
        <f t="shared" si="21"/>
        <v>0</v>
      </c>
      <c r="AI118" s="1">
        <f t="shared" si="22"/>
        <v>1</v>
      </c>
    </row>
    <row r="119" spans="1:36" ht="14.25" customHeight="1" x14ac:dyDescent="0.25">
      <c r="A119" s="15">
        <v>0</v>
      </c>
      <c r="B119" s="15">
        <v>1</v>
      </c>
      <c r="C119" s="15">
        <v>3</v>
      </c>
      <c r="D119" s="20" t="s">
        <v>1985</v>
      </c>
      <c r="E119" s="20" t="s">
        <v>173</v>
      </c>
      <c r="F119" s="20" t="s">
        <v>1982</v>
      </c>
      <c r="G119" s="20"/>
      <c r="H119" s="20" t="s">
        <v>1983</v>
      </c>
      <c r="I119" s="21" t="s">
        <v>1981</v>
      </c>
      <c r="J119" s="15">
        <v>17</v>
      </c>
      <c r="K119" s="10" t="s">
        <v>707</v>
      </c>
      <c r="L119" s="10" t="s">
        <v>1749</v>
      </c>
      <c r="M119" s="19" t="s">
        <v>975</v>
      </c>
      <c r="N119" s="17"/>
      <c r="Q119" s="20" t="s">
        <v>1984</v>
      </c>
      <c r="S119" s="1">
        <f t="shared" si="35"/>
        <v>0</v>
      </c>
      <c r="T119" s="1">
        <f t="shared" si="36"/>
        <v>0</v>
      </c>
      <c r="U119" s="1">
        <f t="shared" si="37"/>
        <v>0</v>
      </c>
      <c r="V119" s="1">
        <f t="shared" si="38"/>
        <v>0</v>
      </c>
      <c r="W119" s="1">
        <f t="shared" si="39"/>
        <v>0</v>
      </c>
      <c r="X119" s="1">
        <f t="shared" si="40"/>
        <v>0</v>
      </c>
      <c r="Y119" s="1">
        <f t="shared" si="41"/>
        <v>0</v>
      </c>
      <c r="Z119" s="1">
        <f t="shared" si="42"/>
        <v>0</v>
      </c>
      <c r="AA119" s="1">
        <f t="shared" si="43"/>
        <v>0</v>
      </c>
      <c r="AB119" s="1">
        <f t="shared" si="44"/>
        <v>0</v>
      </c>
      <c r="AD119" s="1">
        <f t="shared" si="45"/>
        <v>0</v>
      </c>
      <c r="AE119" s="1">
        <f t="shared" si="46"/>
        <v>0</v>
      </c>
      <c r="AF119" s="1">
        <f t="shared" si="19"/>
        <v>0</v>
      </c>
      <c r="AG119" s="1">
        <f t="shared" si="20"/>
        <v>0</v>
      </c>
      <c r="AH119" s="1">
        <f t="shared" si="21"/>
        <v>0</v>
      </c>
      <c r="AI119" s="1">
        <f t="shared" si="22"/>
        <v>1</v>
      </c>
    </row>
    <row r="120" spans="1:36" ht="14.25" customHeight="1" x14ac:dyDescent="0.25">
      <c r="A120" s="47">
        <v>0</v>
      </c>
      <c r="B120" s="47">
        <v>1</v>
      </c>
      <c r="C120" s="47">
        <v>3</v>
      </c>
      <c r="D120" s="48" t="s">
        <v>1004</v>
      </c>
      <c r="E120" s="48" t="s">
        <v>173</v>
      </c>
      <c r="F120" s="68" t="s">
        <v>1874</v>
      </c>
      <c r="G120" s="48" t="s">
        <v>39</v>
      </c>
      <c r="H120" s="48" t="s">
        <v>1005</v>
      </c>
      <c r="I120" s="47" t="s">
        <v>1120</v>
      </c>
      <c r="J120" s="47">
        <v>16</v>
      </c>
      <c r="K120" s="49" t="s">
        <v>726</v>
      </c>
      <c r="L120" s="49" t="s">
        <v>1749</v>
      </c>
      <c r="M120" s="50" t="s">
        <v>1401</v>
      </c>
      <c r="N120" s="50" t="s">
        <v>1809</v>
      </c>
      <c r="O120" s="51"/>
      <c r="P120" s="51"/>
      <c r="Q120" s="68" t="s">
        <v>1897</v>
      </c>
      <c r="S120" s="1">
        <f t="shared" si="35"/>
        <v>0</v>
      </c>
      <c r="T120" s="1">
        <f t="shared" si="36"/>
        <v>0</v>
      </c>
      <c r="U120" s="1">
        <f t="shared" si="37"/>
        <v>0</v>
      </c>
      <c r="V120" s="1">
        <f t="shared" si="38"/>
        <v>0</v>
      </c>
      <c r="W120" s="1">
        <f t="shared" si="39"/>
        <v>0</v>
      </c>
      <c r="X120" s="1">
        <f t="shared" si="40"/>
        <v>0</v>
      </c>
      <c r="Y120" s="1">
        <f t="shared" si="41"/>
        <v>0</v>
      </c>
      <c r="Z120" s="1">
        <f t="shared" si="42"/>
        <v>0</v>
      </c>
      <c r="AA120" s="1">
        <f t="shared" si="43"/>
        <v>0</v>
      </c>
      <c r="AB120" s="1">
        <f t="shared" si="44"/>
        <v>0</v>
      </c>
      <c r="AD120" s="1">
        <f t="shared" si="45"/>
        <v>0</v>
      </c>
      <c r="AE120" s="1">
        <f t="shared" si="46"/>
        <v>0</v>
      </c>
      <c r="AF120" s="1">
        <f t="shared" si="19"/>
        <v>0</v>
      </c>
      <c r="AG120" s="1">
        <f t="shared" si="20"/>
        <v>0</v>
      </c>
      <c r="AH120" s="1">
        <f t="shared" si="21"/>
        <v>0</v>
      </c>
      <c r="AI120" s="1">
        <f t="shared" si="22"/>
        <v>1</v>
      </c>
    </row>
    <row r="121" spans="1:36" ht="14.25" customHeight="1" x14ac:dyDescent="0.25">
      <c r="A121" s="15">
        <v>0</v>
      </c>
      <c r="B121" s="15">
        <v>1</v>
      </c>
      <c r="C121" s="15">
        <v>3</v>
      </c>
      <c r="D121" s="16" t="s">
        <v>1131</v>
      </c>
      <c r="E121" s="16" t="s">
        <v>173</v>
      </c>
      <c r="F121" s="16" t="s">
        <v>1351</v>
      </c>
      <c r="G121" s="16" t="s">
        <v>39</v>
      </c>
      <c r="H121" s="16" t="s">
        <v>1133</v>
      </c>
      <c r="I121" s="15" t="s">
        <v>1132</v>
      </c>
      <c r="J121" s="15">
        <v>14</v>
      </c>
      <c r="K121" s="10" t="s">
        <v>962</v>
      </c>
      <c r="L121" s="10" t="s">
        <v>1706</v>
      </c>
      <c r="M121" s="19" t="s">
        <v>1402</v>
      </c>
      <c r="N121" s="17"/>
      <c r="Q121" s="16"/>
      <c r="S121" s="1">
        <f t="shared" si="35"/>
        <v>0</v>
      </c>
      <c r="T121" s="1">
        <f t="shared" si="36"/>
        <v>0</v>
      </c>
      <c r="U121" s="1">
        <f t="shared" si="37"/>
        <v>0</v>
      </c>
      <c r="V121" s="1">
        <f t="shared" si="38"/>
        <v>0</v>
      </c>
      <c r="W121" s="1">
        <f t="shared" si="39"/>
        <v>0</v>
      </c>
      <c r="X121" s="1">
        <f t="shared" si="40"/>
        <v>0</v>
      </c>
      <c r="Y121" s="1">
        <f t="shared" si="41"/>
        <v>0</v>
      </c>
      <c r="Z121" s="1">
        <f t="shared" si="42"/>
        <v>0</v>
      </c>
      <c r="AA121" s="1">
        <f t="shared" si="43"/>
        <v>0</v>
      </c>
      <c r="AB121" s="1">
        <f t="shared" si="44"/>
        <v>0</v>
      </c>
      <c r="AD121" s="1">
        <f t="shared" si="45"/>
        <v>0</v>
      </c>
      <c r="AE121" s="1">
        <f t="shared" si="46"/>
        <v>0</v>
      </c>
      <c r="AF121" s="1">
        <f t="shared" si="19"/>
        <v>0</v>
      </c>
      <c r="AG121" s="1">
        <f t="shared" si="20"/>
        <v>0</v>
      </c>
      <c r="AH121" s="1">
        <f t="shared" si="21"/>
        <v>0</v>
      </c>
      <c r="AI121" s="1">
        <f t="shared" si="22"/>
        <v>1</v>
      </c>
    </row>
    <row r="122" spans="1:36" ht="14.25" customHeight="1" x14ac:dyDescent="0.25">
      <c r="A122" s="34">
        <v>0</v>
      </c>
      <c r="B122" s="34">
        <v>1</v>
      </c>
      <c r="C122" s="34">
        <v>3</v>
      </c>
      <c r="D122" s="35" t="s">
        <v>1082</v>
      </c>
      <c r="E122" s="35" t="s">
        <v>173</v>
      </c>
      <c r="F122" s="35" t="s">
        <v>1044</v>
      </c>
      <c r="G122" s="35" t="s">
        <v>1108</v>
      </c>
      <c r="H122" s="35" t="s">
        <v>355</v>
      </c>
      <c r="I122" s="34" t="s">
        <v>1045</v>
      </c>
      <c r="J122" s="34">
        <v>1</v>
      </c>
      <c r="K122" s="36" t="s">
        <v>962</v>
      </c>
      <c r="L122" s="36" t="s">
        <v>690</v>
      </c>
      <c r="M122" s="37" t="s">
        <v>975</v>
      </c>
      <c r="N122" s="37" t="s">
        <v>1762</v>
      </c>
      <c r="O122" s="38">
        <v>1</v>
      </c>
      <c r="P122" s="38"/>
      <c r="Q122" s="35"/>
      <c r="S122" s="1">
        <f t="shared" si="35"/>
        <v>1</v>
      </c>
      <c r="T122" s="1">
        <f t="shared" si="36"/>
        <v>0</v>
      </c>
      <c r="U122" s="1">
        <f t="shared" si="37"/>
        <v>0</v>
      </c>
      <c r="V122" s="1">
        <f t="shared" si="38"/>
        <v>0</v>
      </c>
      <c r="W122" s="1">
        <f t="shared" si="39"/>
        <v>0</v>
      </c>
      <c r="X122" s="1">
        <f t="shared" si="40"/>
        <v>0</v>
      </c>
      <c r="Y122" s="1">
        <f t="shared" si="41"/>
        <v>0</v>
      </c>
      <c r="Z122" s="1">
        <f t="shared" si="42"/>
        <v>0</v>
      </c>
      <c r="AA122" s="1">
        <f t="shared" si="43"/>
        <v>0</v>
      </c>
      <c r="AB122" s="1">
        <f t="shared" si="44"/>
        <v>0</v>
      </c>
      <c r="AD122" s="1">
        <f t="shared" si="45"/>
        <v>0</v>
      </c>
      <c r="AE122" s="1">
        <f t="shared" si="46"/>
        <v>1</v>
      </c>
      <c r="AF122" s="1">
        <f t="shared" si="19"/>
        <v>0</v>
      </c>
      <c r="AG122" s="1">
        <f t="shared" si="20"/>
        <v>1</v>
      </c>
      <c r="AH122" s="1">
        <f t="shared" si="21"/>
        <v>0</v>
      </c>
      <c r="AI122" s="1">
        <f t="shared" si="22"/>
        <v>1</v>
      </c>
    </row>
    <row r="123" spans="1:36" s="2" customFormat="1" ht="14.25" customHeight="1" x14ac:dyDescent="0.25">
      <c r="A123" s="34">
        <v>0</v>
      </c>
      <c r="B123" s="34">
        <v>1</v>
      </c>
      <c r="C123" s="34">
        <v>3</v>
      </c>
      <c r="D123" s="35" t="s">
        <v>1636</v>
      </c>
      <c r="E123" s="35" t="s">
        <v>1091</v>
      </c>
      <c r="F123" s="35" t="s">
        <v>1637</v>
      </c>
      <c r="G123" s="35" t="s">
        <v>39</v>
      </c>
      <c r="H123" s="35" t="s">
        <v>1638</v>
      </c>
      <c r="I123" s="34" t="s">
        <v>1639</v>
      </c>
      <c r="J123" s="34">
        <v>15</v>
      </c>
      <c r="K123" s="36" t="s">
        <v>962</v>
      </c>
      <c r="L123" s="36" t="s">
        <v>39</v>
      </c>
      <c r="M123" s="37" t="s">
        <v>39</v>
      </c>
      <c r="N123" s="37" t="s">
        <v>1755</v>
      </c>
      <c r="O123" s="38">
        <v>1</v>
      </c>
      <c r="P123" s="38"/>
      <c r="Q123" s="39" t="s">
        <v>1902</v>
      </c>
      <c r="R123" s="1"/>
      <c r="S123" s="1">
        <f t="shared" si="35"/>
        <v>0</v>
      </c>
      <c r="T123" s="1">
        <f t="shared" si="36"/>
        <v>0</v>
      </c>
      <c r="U123" s="1">
        <f t="shared" si="37"/>
        <v>0</v>
      </c>
      <c r="V123" s="1">
        <f t="shared" si="38"/>
        <v>0</v>
      </c>
      <c r="W123" s="1">
        <f t="shared" si="39"/>
        <v>0</v>
      </c>
      <c r="X123" s="1">
        <f t="shared" si="40"/>
        <v>0</v>
      </c>
      <c r="Y123" s="1">
        <f t="shared" si="41"/>
        <v>0</v>
      </c>
      <c r="Z123" s="1">
        <f t="shared" si="42"/>
        <v>0</v>
      </c>
      <c r="AA123" s="1">
        <f t="shared" si="43"/>
        <v>0</v>
      </c>
      <c r="AB123" s="1">
        <f t="shared" si="44"/>
        <v>0</v>
      </c>
      <c r="AC123" s="1"/>
      <c r="AD123" s="1">
        <f t="shared" si="45"/>
        <v>0</v>
      </c>
      <c r="AE123" s="1">
        <f t="shared" si="46"/>
        <v>1</v>
      </c>
      <c r="AF123" s="1">
        <f t="shared" si="19"/>
        <v>0</v>
      </c>
      <c r="AG123" s="1">
        <f t="shared" si="20"/>
        <v>1</v>
      </c>
      <c r="AH123" s="1">
        <f t="shared" si="21"/>
        <v>0</v>
      </c>
      <c r="AI123" s="1">
        <f t="shared" si="22"/>
        <v>1</v>
      </c>
      <c r="AJ123" s="1"/>
    </row>
    <row r="124" spans="1:36" ht="14.25" customHeight="1" x14ac:dyDescent="0.25">
      <c r="A124" s="15">
        <v>0</v>
      </c>
      <c r="B124" s="15">
        <v>1</v>
      </c>
      <c r="C124" s="15">
        <v>3</v>
      </c>
      <c r="D124" s="16" t="s">
        <v>615</v>
      </c>
      <c r="E124" s="16" t="s">
        <v>171</v>
      </c>
      <c r="F124" s="16" t="s">
        <v>616</v>
      </c>
      <c r="G124" s="16" t="s">
        <v>39</v>
      </c>
      <c r="H124" s="16" t="s">
        <v>367</v>
      </c>
      <c r="I124" s="15" t="s">
        <v>617</v>
      </c>
      <c r="J124" s="15">
        <v>18</v>
      </c>
      <c r="K124" s="10" t="s">
        <v>726</v>
      </c>
      <c r="L124" s="10" t="s">
        <v>1749</v>
      </c>
      <c r="M124" s="19" t="s">
        <v>39</v>
      </c>
      <c r="N124" s="17"/>
      <c r="Q124" s="16"/>
      <c r="S124" s="1">
        <f t="shared" si="35"/>
        <v>0</v>
      </c>
      <c r="T124" s="1">
        <f t="shared" si="36"/>
        <v>0</v>
      </c>
      <c r="U124" s="1">
        <f t="shared" si="37"/>
        <v>0</v>
      </c>
      <c r="V124" s="1">
        <f t="shared" si="38"/>
        <v>0</v>
      </c>
      <c r="W124" s="1">
        <f t="shared" si="39"/>
        <v>0</v>
      </c>
      <c r="X124" s="1">
        <f t="shared" si="40"/>
        <v>0</v>
      </c>
      <c r="Y124" s="1">
        <f t="shared" si="41"/>
        <v>0</v>
      </c>
      <c r="Z124" s="1">
        <f t="shared" si="42"/>
        <v>0</v>
      </c>
      <c r="AA124" s="1">
        <f t="shared" si="43"/>
        <v>0</v>
      </c>
      <c r="AB124" s="1">
        <f t="shared" si="44"/>
        <v>0</v>
      </c>
      <c r="AD124" s="1">
        <f t="shared" si="45"/>
        <v>0</v>
      </c>
      <c r="AE124" s="1">
        <f t="shared" si="46"/>
        <v>0</v>
      </c>
      <c r="AF124" s="1">
        <f t="shared" si="19"/>
        <v>0</v>
      </c>
      <c r="AG124" s="1">
        <f t="shared" si="20"/>
        <v>0</v>
      </c>
      <c r="AH124" s="1">
        <f t="shared" si="21"/>
        <v>0</v>
      </c>
      <c r="AI124" s="1">
        <f t="shared" si="22"/>
        <v>1</v>
      </c>
    </row>
    <row r="125" spans="1:36" ht="14.25" customHeight="1" x14ac:dyDescent="0.25">
      <c r="A125" s="15">
        <v>0</v>
      </c>
      <c r="B125" s="15">
        <v>1</v>
      </c>
      <c r="C125" s="15">
        <v>3</v>
      </c>
      <c r="D125" s="20" t="s">
        <v>1957</v>
      </c>
      <c r="E125" s="20" t="s">
        <v>173</v>
      </c>
      <c r="F125" s="20" t="s">
        <v>1978</v>
      </c>
      <c r="G125" s="20"/>
      <c r="H125" s="20" t="s">
        <v>1977</v>
      </c>
      <c r="I125" s="21" t="s">
        <v>1979</v>
      </c>
      <c r="J125" s="15">
        <v>15</v>
      </c>
      <c r="K125" s="10" t="s">
        <v>707</v>
      </c>
      <c r="L125" s="10" t="s">
        <v>1749</v>
      </c>
      <c r="M125" s="19" t="s">
        <v>975</v>
      </c>
      <c r="N125" s="17"/>
      <c r="Q125" s="20" t="s">
        <v>1980</v>
      </c>
      <c r="S125" s="1">
        <f t="shared" si="35"/>
        <v>0</v>
      </c>
      <c r="T125" s="1">
        <f t="shared" si="36"/>
        <v>0</v>
      </c>
      <c r="U125" s="1">
        <f t="shared" si="37"/>
        <v>0</v>
      </c>
      <c r="V125" s="1">
        <f t="shared" si="38"/>
        <v>0</v>
      </c>
      <c r="W125" s="1">
        <f t="shared" si="39"/>
        <v>0</v>
      </c>
      <c r="X125" s="1">
        <f t="shared" si="40"/>
        <v>0</v>
      </c>
      <c r="Y125" s="1">
        <f t="shared" si="41"/>
        <v>0</v>
      </c>
      <c r="Z125" s="1">
        <f t="shared" si="42"/>
        <v>0</v>
      </c>
      <c r="AA125" s="1">
        <f t="shared" si="43"/>
        <v>0</v>
      </c>
      <c r="AB125" s="1">
        <f t="shared" si="44"/>
        <v>0</v>
      </c>
      <c r="AD125" s="1">
        <f t="shared" si="45"/>
        <v>0</v>
      </c>
      <c r="AE125" s="1">
        <f t="shared" si="46"/>
        <v>0</v>
      </c>
      <c r="AF125" s="1">
        <f t="shared" si="19"/>
        <v>0</v>
      </c>
      <c r="AG125" s="1">
        <f t="shared" si="20"/>
        <v>0</v>
      </c>
      <c r="AH125" s="1">
        <f t="shared" si="21"/>
        <v>0</v>
      </c>
      <c r="AI125" s="1">
        <f t="shared" si="22"/>
        <v>1</v>
      </c>
    </row>
    <row r="126" spans="1:36" s="2" customFormat="1" ht="14.25" customHeight="1" x14ac:dyDescent="0.25">
      <c r="A126" s="34">
        <v>0</v>
      </c>
      <c r="B126" s="34">
        <v>1</v>
      </c>
      <c r="C126" s="34">
        <v>3</v>
      </c>
      <c r="D126" s="35" t="s">
        <v>924</v>
      </c>
      <c r="E126" s="35" t="s">
        <v>173</v>
      </c>
      <c r="F126" s="35" t="s">
        <v>1163</v>
      </c>
      <c r="G126" s="35" t="s">
        <v>39</v>
      </c>
      <c r="H126" s="35" t="s">
        <v>364</v>
      </c>
      <c r="I126" s="34" t="s">
        <v>895</v>
      </c>
      <c r="J126" s="34">
        <v>14</v>
      </c>
      <c r="K126" s="36" t="s">
        <v>961</v>
      </c>
      <c r="L126" s="36" t="s">
        <v>39</v>
      </c>
      <c r="M126" s="37" t="s">
        <v>39</v>
      </c>
      <c r="N126" s="37" t="s">
        <v>1740</v>
      </c>
      <c r="O126" s="38">
        <v>1</v>
      </c>
      <c r="P126" s="38">
        <v>1</v>
      </c>
      <c r="Q126" s="39"/>
      <c r="R126" s="1"/>
      <c r="S126" s="1">
        <f t="shared" si="35"/>
        <v>0</v>
      </c>
      <c r="T126" s="1">
        <f t="shared" si="36"/>
        <v>0</v>
      </c>
      <c r="U126" s="1">
        <f t="shared" si="37"/>
        <v>0</v>
      </c>
      <c r="V126" s="1">
        <f t="shared" si="38"/>
        <v>0</v>
      </c>
      <c r="W126" s="1">
        <f t="shared" si="39"/>
        <v>0</v>
      </c>
      <c r="X126" s="1">
        <f t="shared" si="40"/>
        <v>0</v>
      </c>
      <c r="Y126" s="1">
        <f t="shared" si="41"/>
        <v>0</v>
      </c>
      <c r="Z126" s="1">
        <f t="shared" si="42"/>
        <v>0</v>
      </c>
      <c r="AA126" s="1">
        <f t="shared" si="43"/>
        <v>0</v>
      </c>
      <c r="AB126" s="1">
        <f t="shared" si="44"/>
        <v>0</v>
      </c>
      <c r="AC126" s="1"/>
      <c r="AD126" s="1">
        <f t="shared" si="45"/>
        <v>1</v>
      </c>
      <c r="AE126" s="1">
        <f t="shared" si="46"/>
        <v>0</v>
      </c>
      <c r="AF126" s="1">
        <f t="shared" si="19"/>
        <v>1</v>
      </c>
      <c r="AG126" s="1">
        <f t="shared" si="20"/>
        <v>0</v>
      </c>
      <c r="AH126" s="1">
        <f t="shared" si="21"/>
        <v>1</v>
      </c>
      <c r="AI126" s="1">
        <f t="shared" si="22"/>
        <v>0</v>
      </c>
      <c r="AJ126" s="1"/>
    </row>
    <row r="127" spans="1:36" ht="14.25" customHeight="1" x14ac:dyDescent="0.25">
      <c r="A127" s="15">
        <v>0</v>
      </c>
      <c r="B127" s="15">
        <v>1</v>
      </c>
      <c r="C127" s="15">
        <v>3</v>
      </c>
      <c r="D127" s="16" t="s">
        <v>105</v>
      </c>
      <c r="E127" s="16" t="s">
        <v>173</v>
      </c>
      <c r="F127" s="16" t="s">
        <v>935</v>
      </c>
      <c r="G127" s="16" t="s">
        <v>39</v>
      </c>
      <c r="H127" s="16" t="s">
        <v>359</v>
      </c>
      <c r="I127" s="15" t="s">
        <v>453</v>
      </c>
      <c r="J127" s="15">
        <v>18</v>
      </c>
      <c r="K127" s="10" t="s">
        <v>960</v>
      </c>
      <c r="L127" s="10" t="s">
        <v>701</v>
      </c>
      <c r="M127" s="19" t="s">
        <v>695</v>
      </c>
      <c r="N127" s="17"/>
      <c r="Q127" s="16" t="s">
        <v>1895</v>
      </c>
      <c r="S127" s="1">
        <f t="shared" si="35"/>
        <v>0</v>
      </c>
      <c r="T127" s="1">
        <f t="shared" si="36"/>
        <v>0</v>
      </c>
      <c r="U127" s="1">
        <f t="shared" si="37"/>
        <v>0</v>
      </c>
      <c r="V127" s="1">
        <f t="shared" si="38"/>
        <v>0</v>
      </c>
      <c r="W127" s="1">
        <f t="shared" si="39"/>
        <v>0</v>
      </c>
      <c r="X127" s="1">
        <f t="shared" si="40"/>
        <v>0</v>
      </c>
      <c r="Y127" s="1">
        <f t="shared" si="41"/>
        <v>0</v>
      </c>
      <c r="Z127" s="1">
        <f t="shared" si="42"/>
        <v>0</v>
      </c>
      <c r="AA127" s="1">
        <f t="shared" si="43"/>
        <v>0</v>
      </c>
      <c r="AB127" s="1">
        <f t="shared" si="44"/>
        <v>0</v>
      </c>
      <c r="AD127" s="1">
        <f t="shared" si="45"/>
        <v>0</v>
      </c>
      <c r="AE127" s="1">
        <f t="shared" si="46"/>
        <v>0</v>
      </c>
      <c r="AF127" s="1">
        <f t="shared" si="19"/>
        <v>0</v>
      </c>
      <c r="AG127" s="1">
        <f t="shared" si="20"/>
        <v>0</v>
      </c>
      <c r="AH127" s="1">
        <f t="shared" si="21"/>
        <v>0</v>
      </c>
      <c r="AI127" s="1">
        <f t="shared" si="22"/>
        <v>1</v>
      </c>
    </row>
    <row r="128" spans="1:36" ht="14.25" customHeight="1" x14ac:dyDescent="0.25">
      <c r="A128" s="41">
        <v>0</v>
      </c>
      <c r="B128" s="41">
        <v>1</v>
      </c>
      <c r="C128" s="41">
        <v>3</v>
      </c>
      <c r="D128" s="42" t="s">
        <v>1515</v>
      </c>
      <c r="E128" s="42" t="s">
        <v>1659</v>
      </c>
      <c r="F128" s="42" t="s">
        <v>1517</v>
      </c>
      <c r="G128" s="42" t="s">
        <v>39</v>
      </c>
      <c r="H128" s="42" t="s">
        <v>1518</v>
      </c>
      <c r="I128" s="41" t="s">
        <v>1516</v>
      </c>
      <c r="J128" s="41">
        <v>14</v>
      </c>
      <c r="K128" s="43" t="s">
        <v>966</v>
      </c>
      <c r="L128" s="43" t="s">
        <v>690</v>
      </c>
      <c r="M128" s="44" t="s">
        <v>1403</v>
      </c>
      <c r="N128" s="45"/>
      <c r="O128" s="46"/>
      <c r="P128" s="46">
        <v>1</v>
      </c>
      <c r="Q128" s="42"/>
      <c r="S128" s="1">
        <f t="shared" si="35"/>
        <v>0</v>
      </c>
      <c r="T128" s="1">
        <f t="shared" si="36"/>
        <v>0</v>
      </c>
      <c r="U128" s="1">
        <f t="shared" si="37"/>
        <v>0</v>
      </c>
      <c r="V128" s="1">
        <f t="shared" si="38"/>
        <v>0</v>
      </c>
      <c r="W128" s="1">
        <f t="shared" si="39"/>
        <v>0</v>
      </c>
      <c r="X128" s="1">
        <f t="shared" si="40"/>
        <v>0</v>
      </c>
      <c r="Y128" s="1">
        <f t="shared" si="41"/>
        <v>0</v>
      </c>
      <c r="Z128" s="1">
        <f t="shared" si="42"/>
        <v>0</v>
      </c>
      <c r="AA128" s="1">
        <f t="shared" si="43"/>
        <v>0</v>
      </c>
      <c r="AB128" s="1">
        <f t="shared" si="44"/>
        <v>0</v>
      </c>
      <c r="AD128" s="1">
        <f t="shared" si="45"/>
        <v>0</v>
      </c>
      <c r="AE128" s="1">
        <f t="shared" si="46"/>
        <v>0</v>
      </c>
      <c r="AF128" s="1">
        <f t="shared" si="19"/>
        <v>0</v>
      </c>
      <c r="AG128" s="1">
        <f t="shared" si="20"/>
        <v>0</v>
      </c>
      <c r="AH128" s="1">
        <f t="shared" si="21"/>
        <v>1</v>
      </c>
      <c r="AI128" s="1">
        <f t="shared" si="22"/>
        <v>0</v>
      </c>
    </row>
    <row r="129" spans="1:35" ht="14.25" customHeight="1" x14ac:dyDescent="0.25">
      <c r="A129" s="47">
        <v>0</v>
      </c>
      <c r="B129" s="47">
        <v>1</v>
      </c>
      <c r="C129" s="47">
        <v>3</v>
      </c>
      <c r="D129" s="48" t="s">
        <v>1263</v>
      </c>
      <c r="E129" s="48" t="s">
        <v>173</v>
      </c>
      <c r="F129" s="48" t="s">
        <v>1264</v>
      </c>
      <c r="G129" s="48" t="s">
        <v>1266</v>
      </c>
      <c r="H129" s="48" t="s">
        <v>355</v>
      </c>
      <c r="I129" s="47" t="s">
        <v>1265</v>
      </c>
      <c r="J129" s="47">
        <v>99</v>
      </c>
      <c r="K129" s="49" t="s">
        <v>962</v>
      </c>
      <c r="L129" s="49" t="s">
        <v>697</v>
      </c>
      <c r="M129" s="50" t="s">
        <v>975</v>
      </c>
      <c r="N129" s="50" t="s">
        <v>1809</v>
      </c>
      <c r="O129" s="51"/>
      <c r="P129" s="51"/>
      <c r="Q129" s="48"/>
      <c r="S129" s="1">
        <f t="shared" si="35"/>
        <v>0</v>
      </c>
      <c r="T129" s="1">
        <f t="shared" si="36"/>
        <v>0</v>
      </c>
      <c r="U129" s="1">
        <f t="shared" si="37"/>
        <v>0</v>
      </c>
      <c r="V129" s="1">
        <f t="shared" si="38"/>
        <v>0</v>
      </c>
      <c r="W129" s="1">
        <f t="shared" si="39"/>
        <v>0</v>
      </c>
      <c r="X129" s="1">
        <f t="shared" si="40"/>
        <v>0</v>
      </c>
      <c r="Y129" s="1">
        <f t="shared" si="41"/>
        <v>0</v>
      </c>
      <c r="Z129" s="1">
        <f t="shared" si="42"/>
        <v>0</v>
      </c>
      <c r="AA129" s="1">
        <f t="shared" si="43"/>
        <v>0</v>
      </c>
      <c r="AB129" s="1">
        <f t="shared" si="44"/>
        <v>0</v>
      </c>
      <c r="AD129" s="1">
        <f t="shared" si="45"/>
        <v>0</v>
      </c>
      <c r="AE129" s="1">
        <f t="shared" si="46"/>
        <v>0</v>
      </c>
      <c r="AF129" s="1">
        <f t="shared" si="19"/>
        <v>0</v>
      </c>
      <c r="AG129" s="1">
        <f t="shared" si="20"/>
        <v>0</v>
      </c>
      <c r="AH129" s="1">
        <f t="shared" si="21"/>
        <v>0</v>
      </c>
      <c r="AI129" s="1">
        <f t="shared" si="22"/>
        <v>1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16" t="s">
        <v>1509</v>
      </c>
      <c r="E130" s="16" t="s">
        <v>173</v>
      </c>
      <c r="F130" s="16" t="s">
        <v>1510</v>
      </c>
      <c r="G130" s="16" t="s">
        <v>39</v>
      </c>
      <c r="H130" s="16" t="s">
        <v>366</v>
      </c>
      <c r="I130" s="15" t="s">
        <v>1511</v>
      </c>
      <c r="J130" s="15">
        <v>18</v>
      </c>
      <c r="K130" s="10" t="s">
        <v>960</v>
      </c>
      <c r="L130" s="10" t="s">
        <v>1749</v>
      </c>
      <c r="M130" s="19" t="s">
        <v>39</v>
      </c>
      <c r="N130" s="17"/>
      <c r="Q130" s="16"/>
      <c r="S130" s="1">
        <f t="shared" si="35"/>
        <v>0</v>
      </c>
      <c r="T130" s="1">
        <f t="shared" si="36"/>
        <v>0</v>
      </c>
      <c r="U130" s="1">
        <f t="shared" si="37"/>
        <v>0</v>
      </c>
      <c r="V130" s="1">
        <f t="shared" si="38"/>
        <v>0</v>
      </c>
      <c r="W130" s="1">
        <f t="shared" si="39"/>
        <v>0</v>
      </c>
      <c r="X130" s="1">
        <f t="shared" si="40"/>
        <v>0</v>
      </c>
      <c r="Y130" s="1">
        <f t="shared" si="41"/>
        <v>0</v>
      </c>
      <c r="Z130" s="1">
        <f t="shared" si="42"/>
        <v>0</v>
      </c>
      <c r="AA130" s="1">
        <f t="shared" si="43"/>
        <v>0</v>
      </c>
      <c r="AB130" s="1">
        <f t="shared" si="44"/>
        <v>0</v>
      </c>
      <c r="AD130" s="1">
        <f t="shared" si="45"/>
        <v>0</v>
      </c>
      <c r="AE130" s="1">
        <f t="shared" si="46"/>
        <v>0</v>
      </c>
      <c r="AF130" s="1">
        <f t="shared" si="19"/>
        <v>0</v>
      </c>
      <c r="AG130" s="1">
        <f t="shared" si="20"/>
        <v>0</v>
      </c>
      <c r="AH130" s="1">
        <f t="shared" si="21"/>
        <v>0</v>
      </c>
      <c r="AI130" s="1">
        <f t="shared" si="22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1630</v>
      </c>
      <c r="E131" s="16" t="s">
        <v>173</v>
      </c>
      <c r="F131" s="16" t="s">
        <v>1633</v>
      </c>
      <c r="G131" s="16" t="s">
        <v>39</v>
      </c>
      <c r="H131" s="16" t="s">
        <v>1631</v>
      </c>
      <c r="I131" s="15" t="s">
        <v>1632</v>
      </c>
      <c r="J131" s="15">
        <v>15</v>
      </c>
      <c r="K131" s="10" t="s">
        <v>726</v>
      </c>
      <c r="L131" s="10" t="s">
        <v>39</v>
      </c>
      <c r="M131" s="19" t="s">
        <v>39</v>
      </c>
      <c r="N131" s="17"/>
      <c r="Q131" s="16"/>
      <c r="S131" s="1">
        <f t="shared" si="35"/>
        <v>0</v>
      </c>
      <c r="T131" s="1">
        <f t="shared" si="36"/>
        <v>0</v>
      </c>
      <c r="U131" s="1">
        <f t="shared" si="37"/>
        <v>0</v>
      </c>
      <c r="V131" s="1">
        <f t="shared" si="38"/>
        <v>0</v>
      </c>
      <c r="W131" s="1">
        <f t="shared" si="39"/>
        <v>0</v>
      </c>
      <c r="X131" s="1">
        <f t="shared" si="40"/>
        <v>0</v>
      </c>
      <c r="Y131" s="1">
        <f t="shared" si="41"/>
        <v>0</v>
      </c>
      <c r="Z131" s="1">
        <f t="shared" si="42"/>
        <v>0</v>
      </c>
      <c r="AA131" s="1">
        <f t="shared" si="43"/>
        <v>0</v>
      </c>
      <c r="AB131" s="1">
        <f t="shared" si="44"/>
        <v>0</v>
      </c>
      <c r="AD131" s="1">
        <f t="shared" si="45"/>
        <v>0</v>
      </c>
      <c r="AE131" s="1">
        <f t="shared" si="46"/>
        <v>0</v>
      </c>
      <c r="AF131" s="1">
        <f t="shared" si="19"/>
        <v>0</v>
      </c>
      <c r="AG131" s="1">
        <f t="shared" si="20"/>
        <v>0</v>
      </c>
      <c r="AH131" s="1">
        <f t="shared" si="21"/>
        <v>0</v>
      </c>
      <c r="AI131" s="1">
        <f t="shared" si="22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1251</v>
      </c>
      <c r="E132" s="16" t="s">
        <v>1253</v>
      </c>
      <c r="F132" s="16" t="s">
        <v>1254</v>
      </c>
      <c r="G132" s="16" t="s">
        <v>39</v>
      </c>
      <c r="H132" s="16" t="s">
        <v>370</v>
      </c>
      <c r="I132" s="15" t="s">
        <v>1252</v>
      </c>
      <c r="J132" s="15">
        <v>14</v>
      </c>
      <c r="K132" s="10" t="s">
        <v>962</v>
      </c>
      <c r="L132" s="10" t="s">
        <v>690</v>
      </c>
      <c r="M132" s="19" t="s">
        <v>1403</v>
      </c>
      <c r="N132" s="17"/>
      <c r="Q132" s="16"/>
      <c r="S132" s="1">
        <f t="shared" si="35"/>
        <v>0</v>
      </c>
      <c r="T132" s="1">
        <f t="shared" si="36"/>
        <v>0</v>
      </c>
      <c r="U132" s="1">
        <f t="shared" si="37"/>
        <v>0</v>
      </c>
      <c r="V132" s="1">
        <f t="shared" si="38"/>
        <v>0</v>
      </c>
      <c r="W132" s="1">
        <f t="shared" si="39"/>
        <v>0</v>
      </c>
      <c r="X132" s="1">
        <f t="shared" si="40"/>
        <v>0</v>
      </c>
      <c r="Y132" s="1">
        <f t="shared" si="41"/>
        <v>0</v>
      </c>
      <c r="Z132" s="1">
        <f t="shared" si="42"/>
        <v>0</v>
      </c>
      <c r="AA132" s="1">
        <f t="shared" si="43"/>
        <v>0</v>
      </c>
      <c r="AB132" s="1">
        <f t="shared" si="44"/>
        <v>0</v>
      </c>
      <c r="AD132" s="1">
        <f t="shared" si="45"/>
        <v>0</v>
      </c>
      <c r="AE132" s="1">
        <f t="shared" si="46"/>
        <v>0</v>
      </c>
      <c r="AF132" s="1">
        <f t="shared" si="19"/>
        <v>0</v>
      </c>
      <c r="AG132" s="1">
        <f t="shared" si="20"/>
        <v>0</v>
      </c>
      <c r="AH132" s="1">
        <f t="shared" si="21"/>
        <v>0</v>
      </c>
      <c r="AI132" s="1">
        <f t="shared" si="22"/>
        <v>1</v>
      </c>
    </row>
    <row r="133" spans="1:35" ht="14.25" customHeight="1" x14ac:dyDescent="0.25">
      <c r="A133" s="34">
        <v>0</v>
      </c>
      <c r="B133" s="34">
        <v>1</v>
      </c>
      <c r="C133" s="34">
        <v>3</v>
      </c>
      <c r="D133" s="35" t="s">
        <v>130</v>
      </c>
      <c r="E133" s="35" t="s">
        <v>177</v>
      </c>
      <c r="F133" s="35" t="s">
        <v>332</v>
      </c>
      <c r="G133" s="35" t="s">
        <v>183</v>
      </c>
      <c r="H133" s="35" t="s">
        <v>355</v>
      </c>
      <c r="I133" s="34" t="s">
        <v>480</v>
      </c>
      <c r="J133" s="34">
        <v>99</v>
      </c>
      <c r="K133" s="36" t="s">
        <v>961</v>
      </c>
      <c r="L133" s="36" t="s">
        <v>39</v>
      </c>
      <c r="M133" s="37" t="s">
        <v>39</v>
      </c>
      <c r="N133" s="37" t="s">
        <v>1740</v>
      </c>
      <c r="O133" s="38">
        <v>1</v>
      </c>
      <c r="P133" s="38">
        <v>1</v>
      </c>
      <c r="Q133" s="35"/>
      <c r="S133" s="1">
        <f t="shared" si="35"/>
        <v>0</v>
      </c>
      <c r="T133" s="1">
        <f t="shared" si="36"/>
        <v>0</v>
      </c>
      <c r="U133" s="1">
        <f t="shared" si="37"/>
        <v>0</v>
      </c>
      <c r="V133" s="1">
        <f t="shared" si="38"/>
        <v>0</v>
      </c>
      <c r="W133" s="1">
        <f t="shared" si="39"/>
        <v>0</v>
      </c>
      <c r="X133" s="1">
        <f t="shared" si="40"/>
        <v>0</v>
      </c>
      <c r="Y133" s="1">
        <f t="shared" si="41"/>
        <v>0</v>
      </c>
      <c r="Z133" s="1">
        <f t="shared" si="42"/>
        <v>0</v>
      </c>
      <c r="AA133" s="1">
        <f t="shared" si="43"/>
        <v>0</v>
      </c>
      <c r="AB133" s="1">
        <f t="shared" si="44"/>
        <v>0</v>
      </c>
      <c r="AD133" s="1">
        <f t="shared" si="45"/>
        <v>1</v>
      </c>
      <c r="AE133" s="1">
        <f t="shared" si="46"/>
        <v>0</v>
      </c>
      <c r="AF133" s="1">
        <f t="shared" si="19"/>
        <v>1</v>
      </c>
      <c r="AG133" s="1">
        <f t="shared" si="20"/>
        <v>0</v>
      </c>
      <c r="AH133" s="1">
        <f t="shared" si="21"/>
        <v>1</v>
      </c>
      <c r="AI133" s="1">
        <f t="shared" si="22"/>
        <v>0</v>
      </c>
    </row>
    <row r="134" spans="1:35" ht="14.25" customHeight="1" x14ac:dyDescent="0.25">
      <c r="A134" s="34">
        <v>0</v>
      </c>
      <c r="B134" s="34">
        <v>1</v>
      </c>
      <c r="C134" s="34">
        <v>3</v>
      </c>
      <c r="D134" s="35" t="s">
        <v>925</v>
      </c>
      <c r="E134" s="35" t="s">
        <v>173</v>
      </c>
      <c r="F134" s="35" t="s">
        <v>937</v>
      </c>
      <c r="G134" s="35" t="s">
        <v>236</v>
      </c>
      <c r="H134" s="35" t="s">
        <v>355</v>
      </c>
      <c r="I134" s="34" t="s">
        <v>951</v>
      </c>
      <c r="J134" s="34">
        <v>99</v>
      </c>
      <c r="K134" s="36" t="s">
        <v>726</v>
      </c>
      <c r="L134" s="36">
        <v>45</v>
      </c>
      <c r="M134" s="37" t="s">
        <v>39</v>
      </c>
      <c r="N134" s="37" t="s">
        <v>1808</v>
      </c>
      <c r="O134" s="38">
        <v>1</v>
      </c>
      <c r="P134" s="38"/>
      <c r="Q134" s="35"/>
      <c r="S134" s="1">
        <f t="shared" si="35"/>
        <v>0</v>
      </c>
      <c r="T134" s="1">
        <f t="shared" si="36"/>
        <v>0</v>
      </c>
      <c r="U134" s="1">
        <f t="shared" si="37"/>
        <v>0</v>
      </c>
      <c r="V134" s="1">
        <f t="shared" si="38"/>
        <v>0</v>
      </c>
      <c r="W134" s="1">
        <f t="shared" si="39"/>
        <v>0</v>
      </c>
      <c r="X134" s="1">
        <f t="shared" si="40"/>
        <v>0</v>
      </c>
      <c r="Y134" s="1">
        <f t="shared" si="41"/>
        <v>0</v>
      </c>
      <c r="Z134" s="1">
        <f t="shared" si="42"/>
        <v>0</v>
      </c>
      <c r="AA134" s="1">
        <f t="shared" si="43"/>
        <v>0</v>
      </c>
      <c r="AB134" s="1">
        <f t="shared" si="44"/>
        <v>0</v>
      </c>
      <c r="AD134" s="1">
        <f t="shared" si="45"/>
        <v>0</v>
      </c>
      <c r="AE134" s="1">
        <f t="shared" si="46"/>
        <v>1</v>
      </c>
      <c r="AF134" s="1">
        <f t="shared" si="19"/>
        <v>0</v>
      </c>
      <c r="AG134" s="1">
        <f t="shared" si="20"/>
        <v>1</v>
      </c>
      <c r="AH134" s="1">
        <f t="shared" si="21"/>
        <v>0</v>
      </c>
      <c r="AI134" s="1">
        <f t="shared" si="22"/>
        <v>1</v>
      </c>
    </row>
    <row r="135" spans="1:35" ht="14.25" customHeight="1" x14ac:dyDescent="0.25">
      <c r="A135" s="47">
        <v>0</v>
      </c>
      <c r="B135" s="47">
        <v>1</v>
      </c>
      <c r="C135" s="47">
        <v>3</v>
      </c>
      <c r="D135" s="48" t="s">
        <v>78</v>
      </c>
      <c r="E135" s="48" t="s">
        <v>612</v>
      </c>
      <c r="F135" s="48" t="s">
        <v>309</v>
      </c>
      <c r="G135" s="48" t="s">
        <v>39</v>
      </c>
      <c r="H135" s="48" t="s">
        <v>363</v>
      </c>
      <c r="I135" s="47" t="s">
        <v>458</v>
      </c>
      <c r="J135" s="47">
        <v>12</v>
      </c>
      <c r="K135" s="49" t="s">
        <v>707</v>
      </c>
      <c r="L135" s="49">
        <v>40</v>
      </c>
      <c r="M135" s="50" t="s">
        <v>975</v>
      </c>
      <c r="N135" s="50" t="s">
        <v>1809</v>
      </c>
      <c r="O135" s="51"/>
      <c r="P135" s="51"/>
      <c r="Q135" s="48"/>
      <c r="S135" s="1">
        <f t="shared" si="35"/>
        <v>0</v>
      </c>
      <c r="T135" s="1">
        <f t="shared" si="36"/>
        <v>0</v>
      </c>
      <c r="U135" s="1">
        <f t="shared" si="37"/>
        <v>0</v>
      </c>
      <c r="V135" s="1">
        <f t="shared" si="38"/>
        <v>0</v>
      </c>
      <c r="W135" s="1">
        <f t="shared" si="39"/>
        <v>0</v>
      </c>
      <c r="X135" s="1">
        <f t="shared" si="40"/>
        <v>0</v>
      </c>
      <c r="Y135" s="1">
        <f t="shared" si="41"/>
        <v>0</v>
      </c>
      <c r="Z135" s="1">
        <f t="shared" si="42"/>
        <v>0</v>
      </c>
      <c r="AA135" s="1">
        <f t="shared" si="43"/>
        <v>0</v>
      </c>
      <c r="AB135" s="1">
        <f t="shared" si="44"/>
        <v>0</v>
      </c>
      <c r="AD135" s="1">
        <f t="shared" si="45"/>
        <v>0</v>
      </c>
      <c r="AE135" s="1">
        <f t="shared" si="46"/>
        <v>0</v>
      </c>
      <c r="AF135" s="1">
        <f t="shared" si="19"/>
        <v>0</v>
      </c>
      <c r="AG135" s="1">
        <f t="shared" si="20"/>
        <v>0</v>
      </c>
      <c r="AH135" s="1">
        <f t="shared" si="21"/>
        <v>0</v>
      </c>
      <c r="AI135" s="1">
        <f t="shared" si="22"/>
        <v>1</v>
      </c>
    </row>
    <row r="136" spans="1:35" ht="14.25" customHeight="1" x14ac:dyDescent="0.25">
      <c r="A136" s="15">
        <v>0</v>
      </c>
      <c r="B136" s="15">
        <v>1</v>
      </c>
      <c r="C136" s="15">
        <v>3</v>
      </c>
      <c r="D136" s="16" t="s">
        <v>1589</v>
      </c>
      <c r="E136" s="16" t="s">
        <v>171</v>
      </c>
      <c r="F136" s="16" t="s">
        <v>1591</v>
      </c>
      <c r="G136" s="16"/>
      <c r="H136" s="16" t="s">
        <v>366</v>
      </c>
      <c r="I136" s="15" t="s">
        <v>1590</v>
      </c>
      <c r="J136" s="15">
        <v>18</v>
      </c>
      <c r="K136" s="10" t="s">
        <v>707</v>
      </c>
      <c r="L136" s="10" t="s">
        <v>691</v>
      </c>
      <c r="M136" s="19" t="s">
        <v>975</v>
      </c>
      <c r="N136" s="17"/>
      <c r="Q136" s="16"/>
      <c r="S136" s="1">
        <f t="shared" si="35"/>
        <v>0</v>
      </c>
      <c r="T136" s="1">
        <f t="shared" si="36"/>
        <v>0</v>
      </c>
      <c r="U136" s="1">
        <f t="shared" si="37"/>
        <v>0</v>
      </c>
      <c r="V136" s="1">
        <f t="shared" si="38"/>
        <v>0</v>
      </c>
      <c r="W136" s="1">
        <f t="shared" si="39"/>
        <v>0</v>
      </c>
      <c r="X136" s="1">
        <f t="shared" si="40"/>
        <v>0</v>
      </c>
      <c r="Y136" s="1">
        <f t="shared" si="41"/>
        <v>0</v>
      </c>
      <c r="Z136" s="1">
        <f t="shared" si="42"/>
        <v>0</v>
      </c>
      <c r="AA136" s="1">
        <f t="shared" si="43"/>
        <v>0</v>
      </c>
      <c r="AB136" s="1">
        <f t="shared" si="44"/>
        <v>0</v>
      </c>
      <c r="AD136" s="1">
        <f t="shared" si="45"/>
        <v>0</v>
      </c>
      <c r="AE136" s="1">
        <f t="shared" si="46"/>
        <v>0</v>
      </c>
      <c r="AF136" s="1">
        <f t="shared" si="19"/>
        <v>0</v>
      </c>
      <c r="AG136" s="1">
        <f t="shared" si="20"/>
        <v>0</v>
      </c>
      <c r="AH136" s="1">
        <f t="shared" si="21"/>
        <v>0</v>
      </c>
      <c r="AI136" s="1">
        <f t="shared" si="22"/>
        <v>1</v>
      </c>
    </row>
    <row r="137" spans="1:35" ht="14.25" customHeight="1" x14ac:dyDescent="0.25">
      <c r="A137" s="34">
        <v>0</v>
      </c>
      <c r="B137" s="34">
        <v>1</v>
      </c>
      <c r="C137" s="34">
        <v>3</v>
      </c>
      <c r="D137" s="35" t="s">
        <v>1294</v>
      </c>
      <c r="E137" s="35" t="s">
        <v>173</v>
      </c>
      <c r="F137" s="35" t="s">
        <v>1295</v>
      </c>
      <c r="G137" s="35" t="s">
        <v>239</v>
      </c>
      <c r="H137" s="35" t="s">
        <v>355</v>
      </c>
      <c r="I137" s="34" t="s">
        <v>1296</v>
      </c>
      <c r="J137" s="34">
        <v>4</v>
      </c>
      <c r="K137" s="36" t="s">
        <v>961</v>
      </c>
      <c r="L137" s="36" t="s">
        <v>39</v>
      </c>
      <c r="M137" s="37" t="s">
        <v>39</v>
      </c>
      <c r="N137" s="37" t="s">
        <v>1734</v>
      </c>
      <c r="O137" s="38">
        <v>1</v>
      </c>
      <c r="P137" s="38">
        <v>1</v>
      </c>
      <c r="Q137" s="35"/>
      <c r="S137" s="1">
        <f t="shared" si="35"/>
        <v>0</v>
      </c>
      <c r="T137" s="1">
        <f t="shared" si="36"/>
        <v>0</v>
      </c>
      <c r="U137" s="1">
        <f t="shared" si="37"/>
        <v>0</v>
      </c>
      <c r="V137" s="1">
        <f t="shared" si="38"/>
        <v>1</v>
      </c>
      <c r="W137" s="1">
        <f t="shared" si="39"/>
        <v>0</v>
      </c>
      <c r="X137" s="1">
        <f t="shared" si="40"/>
        <v>0</v>
      </c>
      <c r="Y137" s="1">
        <f t="shared" si="41"/>
        <v>0</v>
      </c>
      <c r="Z137" s="1">
        <f t="shared" si="42"/>
        <v>0</v>
      </c>
      <c r="AA137" s="1">
        <f t="shared" si="43"/>
        <v>0</v>
      </c>
      <c r="AB137" s="1">
        <f t="shared" si="44"/>
        <v>0</v>
      </c>
      <c r="AD137" s="1">
        <f t="shared" si="45"/>
        <v>1</v>
      </c>
      <c r="AE137" s="1">
        <f t="shared" si="46"/>
        <v>0</v>
      </c>
      <c r="AF137" s="1">
        <f t="shared" ref="AF137:AF201" si="75">+O137*P137*(1-A137)</f>
        <v>1</v>
      </c>
      <c r="AG137" s="1">
        <f t="shared" ref="AG137:AG201" si="76">O137*(1-P137)*(1-A137)</f>
        <v>0</v>
      </c>
      <c r="AH137" s="1">
        <f t="shared" ref="AH137:AH201" si="77">+P137*(1-A137)</f>
        <v>1</v>
      </c>
      <c r="AI137" s="1">
        <f t="shared" ref="AI137:AI201" si="78">+(1-A137)*(1-P137)</f>
        <v>0</v>
      </c>
    </row>
    <row r="138" spans="1:35" ht="14.25" customHeight="1" x14ac:dyDescent="0.25">
      <c r="A138" s="34">
        <v>0</v>
      </c>
      <c r="B138" s="34">
        <v>1</v>
      </c>
      <c r="C138" s="34">
        <v>3</v>
      </c>
      <c r="D138" s="35" t="s">
        <v>650</v>
      </c>
      <c r="E138" s="35" t="s">
        <v>173</v>
      </c>
      <c r="F138" s="35" t="s">
        <v>660</v>
      </c>
      <c r="G138" s="35" t="s">
        <v>233</v>
      </c>
      <c r="H138" s="35" t="s">
        <v>355</v>
      </c>
      <c r="I138" s="34" t="s">
        <v>614</v>
      </c>
      <c r="J138" s="34">
        <v>99</v>
      </c>
      <c r="K138" s="36" t="s">
        <v>706</v>
      </c>
      <c r="L138" s="36" t="s">
        <v>39</v>
      </c>
      <c r="M138" s="37" t="s">
        <v>39</v>
      </c>
      <c r="N138" s="37" t="s">
        <v>1740</v>
      </c>
      <c r="O138" s="38">
        <v>1</v>
      </c>
      <c r="P138" s="38">
        <v>1</v>
      </c>
      <c r="Q138" s="35"/>
      <c r="S138" s="1">
        <f t="shared" si="35"/>
        <v>0</v>
      </c>
      <c r="T138" s="1">
        <f t="shared" si="36"/>
        <v>0</v>
      </c>
      <c r="U138" s="1">
        <f t="shared" si="37"/>
        <v>0</v>
      </c>
      <c r="V138" s="1">
        <f t="shared" si="38"/>
        <v>0</v>
      </c>
      <c r="W138" s="1">
        <f t="shared" si="39"/>
        <v>0</v>
      </c>
      <c r="X138" s="1">
        <f t="shared" si="40"/>
        <v>0</v>
      </c>
      <c r="Y138" s="1">
        <f t="shared" si="41"/>
        <v>0</v>
      </c>
      <c r="Z138" s="1">
        <f t="shared" si="42"/>
        <v>0</v>
      </c>
      <c r="AA138" s="1">
        <f t="shared" si="43"/>
        <v>0</v>
      </c>
      <c r="AB138" s="1">
        <f t="shared" si="44"/>
        <v>0</v>
      </c>
      <c r="AD138" s="1">
        <f t="shared" si="45"/>
        <v>1</v>
      </c>
      <c r="AE138" s="1">
        <f t="shared" si="46"/>
        <v>0</v>
      </c>
      <c r="AF138" s="1">
        <f t="shared" si="75"/>
        <v>1</v>
      </c>
      <c r="AG138" s="1">
        <f t="shared" si="76"/>
        <v>0</v>
      </c>
      <c r="AH138" s="1">
        <f t="shared" si="77"/>
        <v>1</v>
      </c>
      <c r="AI138" s="1">
        <f t="shared" si="78"/>
        <v>0</v>
      </c>
    </row>
    <row r="139" spans="1:35" ht="14.25" customHeight="1" x14ac:dyDescent="0.25">
      <c r="A139" s="41">
        <v>0</v>
      </c>
      <c r="B139" s="41">
        <v>1</v>
      </c>
      <c r="C139" s="41">
        <v>3</v>
      </c>
      <c r="D139" s="42" t="s">
        <v>877</v>
      </c>
      <c r="E139" s="42" t="s">
        <v>878</v>
      </c>
      <c r="F139" s="42" t="s">
        <v>879</v>
      </c>
      <c r="G139" s="42" t="s">
        <v>39</v>
      </c>
      <c r="H139" s="42" t="s">
        <v>367</v>
      </c>
      <c r="I139" s="41" t="s">
        <v>880</v>
      </c>
      <c r="J139" s="41">
        <v>18</v>
      </c>
      <c r="K139" s="43" t="s">
        <v>960</v>
      </c>
      <c r="L139" s="43" t="s">
        <v>39</v>
      </c>
      <c r="M139" s="44" t="s">
        <v>39</v>
      </c>
      <c r="N139" s="45"/>
      <c r="O139" s="46"/>
      <c r="P139" s="46">
        <v>1</v>
      </c>
      <c r="Q139" s="42"/>
      <c r="S139" s="1">
        <f t="shared" si="35"/>
        <v>0</v>
      </c>
      <c r="T139" s="1">
        <f t="shared" si="36"/>
        <v>0</v>
      </c>
      <c r="U139" s="1">
        <f t="shared" si="37"/>
        <v>0</v>
      </c>
      <c r="V139" s="1">
        <f t="shared" si="38"/>
        <v>0</v>
      </c>
      <c r="W139" s="1">
        <f t="shared" si="39"/>
        <v>0</v>
      </c>
      <c r="X139" s="1">
        <f t="shared" si="40"/>
        <v>0</v>
      </c>
      <c r="Y139" s="1">
        <f t="shared" si="41"/>
        <v>0</v>
      </c>
      <c r="Z139" s="1">
        <f t="shared" si="42"/>
        <v>0</v>
      </c>
      <c r="AA139" s="1">
        <f t="shared" si="43"/>
        <v>0</v>
      </c>
      <c r="AB139" s="1">
        <f t="shared" si="44"/>
        <v>0</v>
      </c>
      <c r="AD139" s="1">
        <f t="shared" si="45"/>
        <v>0</v>
      </c>
      <c r="AE139" s="1">
        <f t="shared" si="46"/>
        <v>0</v>
      </c>
      <c r="AF139" s="1">
        <f t="shared" si="75"/>
        <v>0</v>
      </c>
      <c r="AG139" s="1">
        <f t="shared" si="76"/>
        <v>0</v>
      </c>
      <c r="AH139" s="1">
        <f t="shared" si="77"/>
        <v>1</v>
      </c>
      <c r="AI139" s="1">
        <f t="shared" si="78"/>
        <v>0</v>
      </c>
    </row>
    <row r="140" spans="1:35" ht="14.25" customHeight="1" x14ac:dyDescent="0.25">
      <c r="A140" s="34">
        <v>0</v>
      </c>
      <c r="B140" s="34">
        <v>1</v>
      </c>
      <c r="C140" s="34">
        <v>3</v>
      </c>
      <c r="D140" s="35" t="s">
        <v>1314</v>
      </c>
      <c r="E140" s="35" t="s">
        <v>173</v>
      </c>
      <c r="F140" s="35" t="s">
        <v>1315</v>
      </c>
      <c r="G140" s="35" t="s">
        <v>209</v>
      </c>
      <c r="H140" s="35" t="s">
        <v>355</v>
      </c>
      <c r="I140" s="34" t="s">
        <v>1316</v>
      </c>
      <c r="J140" s="34">
        <v>3</v>
      </c>
      <c r="K140" s="36" t="s">
        <v>960</v>
      </c>
      <c r="L140" s="36" t="s">
        <v>39</v>
      </c>
      <c r="M140" s="37" t="s">
        <v>39</v>
      </c>
      <c r="N140" s="37" t="s">
        <v>1740</v>
      </c>
      <c r="O140" s="38">
        <v>1</v>
      </c>
      <c r="P140" s="38">
        <v>1</v>
      </c>
      <c r="Q140" s="35"/>
      <c r="S140" s="1">
        <f t="shared" si="35"/>
        <v>0</v>
      </c>
      <c r="T140" s="1">
        <f t="shared" si="36"/>
        <v>0</v>
      </c>
      <c r="U140" s="1">
        <f t="shared" si="37"/>
        <v>1</v>
      </c>
      <c r="V140" s="1">
        <f t="shared" si="38"/>
        <v>0</v>
      </c>
      <c r="W140" s="1">
        <f t="shared" si="39"/>
        <v>0</v>
      </c>
      <c r="X140" s="1">
        <f t="shared" si="40"/>
        <v>0</v>
      </c>
      <c r="Y140" s="1">
        <f t="shared" si="41"/>
        <v>0</v>
      </c>
      <c r="Z140" s="1">
        <f t="shared" si="42"/>
        <v>0</v>
      </c>
      <c r="AA140" s="1">
        <f t="shared" si="43"/>
        <v>0</v>
      </c>
      <c r="AB140" s="1">
        <f t="shared" si="44"/>
        <v>0</v>
      </c>
      <c r="AD140" s="1">
        <f t="shared" si="45"/>
        <v>1</v>
      </c>
      <c r="AE140" s="1">
        <f t="shared" si="46"/>
        <v>0</v>
      </c>
      <c r="AF140" s="1">
        <f t="shared" si="75"/>
        <v>1</v>
      </c>
      <c r="AG140" s="1">
        <f t="shared" si="76"/>
        <v>0</v>
      </c>
      <c r="AH140" s="1">
        <f t="shared" si="77"/>
        <v>1</v>
      </c>
      <c r="AI140" s="1">
        <f t="shared" si="78"/>
        <v>0</v>
      </c>
    </row>
    <row r="141" spans="1:35" ht="14.25" customHeight="1" x14ac:dyDescent="0.25">
      <c r="A141" s="47">
        <v>0</v>
      </c>
      <c r="B141" s="47">
        <v>1</v>
      </c>
      <c r="C141" s="47">
        <v>3</v>
      </c>
      <c r="D141" s="48" t="s">
        <v>871</v>
      </c>
      <c r="E141" s="48" t="s">
        <v>171</v>
      </c>
      <c r="F141" s="48" t="s">
        <v>872</v>
      </c>
      <c r="G141" s="48" t="s">
        <v>39</v>
      </c>
      <c r="H141" s="48" t="s">
        <v>873</v>
      </c>
      <c r="I141" s="47" t="s">
        <v>952</v>
      </c>
      <c r="J141" s="47">
        <v>11</v>
      </c>
      <c r="K141" s="49" t="s">
        <v>706</v>
      </c>
      <c r="L141" s="49" t="s">
        <v>693</v>
      </c>
      <c r="M141" s="50" t="s">
        <v>975</v>
      </c>
      <c r="N141" s="50" t="s">
        <v>1748</v>
      </c>
      <c r="O141" s="51"/>
      <c r="P141" s="51"/>
      <c r="Q141" s="48"/>
      <c r="S141" s="1">
        <f t="shared" si="35"/>
        <v>0</v>
      </c>
      <c r="T141" s="1">
        <f t="shared" si="36"/>
        <v>0</v>
      </c>
      <c r="U141" s="1">
        <f t="shared" si="37"/>
        <v>0</v>
      </c>
      <c r="V141" s="1">
        <f t="shared" si="38"/>
        <v>0</v>
      </c>
      <c r="W141" s="1">
        <f t="shared" si="39"/>
        <v>0</v>
      </c>
      <c r="X141" s="1">
        <f t="shared" si="40"/>
        <v>0</v>
      </c>
      <c r="Y141" s="1">
        <f t="shared" si="41"/>
        <v>0</v>
      </c>
      <c r="Z141" s="1">
        <f t="shared" si="42"/>
        <v>0</v>
      </c>
      <c r="AA141" s="1">
        <f t="shared" si="43"/>
        <v>0</v>
      </c>
      <c r="AB141" s="1">
        <f t="shared" si="44"/>
        <v>0</v>
      </c>
      <c r="AD141" s="1">
        <f t="shared" si="45"/>
        <v>0</v>
      </c>
      <c r="AE141" s="1">
        <f t="shared" si="46"/>
        <v>0</v>
      </c>
      <c r="AF141" s="1">
        <f t="shared" si="75"/>
        <v>0</v>
      </c>
      <c r="AG141" s="1">
        <f t="shared" si="76"/>
        <v>0</v>
      </c>
      <c r="AH141" s="1">
        <f t="shared" si="77"/>
        <v>0</v>
      </c>
      <c r="AI141" s="1">
        <f t="shared" si="78"/>
        <v>1</v>
      </c>
    </row>
    <row r="142" spans="1:35" ht="14.25" customHeight="1" x14ac:dyDescent="0.25">
      <c r="A142" s="34">
        <v>0</v>
      </c>
      <c r="B142" s="34">
        <v>1</v>
      </c>
      <c r="C142" s="34">
        <v>3</v>
      </c>
      <c r="D142" s="39" t="s">
        <v>508</v>
      </c>
      <c r="E142" s="39" t="s">
        <v>171</v>
      </c>
      <c r="F142" s="39" t="s">
        <v>509</v>
      </c>
      <c r="G142" s="39" t="s">
        <v>506</v>
      </c>
      <c r="H142" s="39" t="s">
        <v>355</v>
      </c>
      <c r="I142" s="40" t="s">
        <v>510</v>
      </c>
      <c r="J142" s="34">
        <v>99</v>
      </c>
      <c r="K142" s="36" t="s">
        <v>707</v>
      </c>
      <c r="L142" s="36">
        <v>40</v>
      </c>
      <c r="M142" s="37" t="s">
        <v>975</v>
      </c>
      <c r="N142" s="37" t="s">
        <v>1953</v>
      </c>
      <c r="O142" s="38">
        <v>1</v>
      </c>
      <c r="P142" s="38"/>
      <c r="Q142" s="39"/>
      <c r="S142" s="1">
        <f t="shared" ref="S142:S206" si="79">IF(J142=$S$7,1,0)</f>
        <v>0</v>
      </c>
      <c r="T142" s="1">
        <f t="shared" ref="T142:T206" si="80">IF(J142=$T$7,1,0)</f>
        <v>0</v>
      </c>
      <c r="U142" s="1">
        <f t="shared" ref="U142:U206" si="81">IF(J142=$U$7,1,0)</f>
        <v>0</v>
      </c>
      <c r="V142" s="1">
        <f t="shared" ref="V142:V206" si="82">IF(J142=$V$7,1,0)</f>
        <v>0</v>
      </c>
      <c r="W142" s="1">
        <f t="shared" ref="W142:W206" si="83">IF(J142=$W$7,1,0)</f>
        <v>0</v>
      </c>
      <c r="X142" s="1">
        <f t="shared" ref="X142:X206" si="84">IF(J142=$X$7,1,0)</f>
        <v>0</v>
      </c>
      <c r="Y142" s="1">
        <f t="shared" ref="Y142:Y206" si="85">IF(J142=$Y$7,1,0)</f>
        <v>0</v>
      </c>
      <c r="Z142" s="1">
        <f t="shared" ref="Z142:Z206" si="86">IF(J142=$Z$7,1,0)</f>
        <v>0</v>
      </c>
      <c r="AA142" s="1">
        <f t="shared" ref="AA142:AA206" si="87">IF(J142=$AA$7,1,0)</f>
        <v>0</v>
      </c>
      <c r="AB142" s="1">
        <f t="shared" ref="AB142:AB206" si="88">IF(J142=$AB$7,1,0)</f>
        <v>0</v>
      </c>
      <c r="AD142" s="1">
        <f t="shared" ref="AD142:AD206" si="89">+O142*P142</f>
        <v>0</v>
      </c>
      <c r="AE142" s="1">
        <f t="shared" ref="AE142:AE206" si="90">O142*(1-P142)</f>
        <v>1</v>
      </c>
      <c r="AF142" s="1">
        <f t="shared" si="75"/>
        <v>0</v>
      </c>
      <c r="AG142" s="1">
        <f t="shared" si="76"/>
        <v>1</v>
      </c>
      <c r="AH142" s="1">
        <f t="shared" si="77"/>
        <v>0</v>
      </c>
      <c r="AI142" s="1">
        <f t="shared" si="78"/>
        <v>1</v>
      </c>
    </row>
    <row r="143" spans="1:35" ht="14.25" customHeight="1" x14ac:dyDescent="0.25">
      <c r="A143" s="34">
        <v>0</v>
      </c>
      <c r="B143" s="34">
        <v>1</v>
      </c>
      <c r="C143" s="34">
        <v>3</v>
      </c>
      <c r="D143" s="39" t="s">
        <v>1799</v>
      </c>
      <c r="E143" s="39" t="s">
        <v>1800</v>
      </c>
      <c r="F143" s="39" t="s">
        <v>1801</v>
      </c>
      <c r="G143" s="39" t="s">
        <v>1802</v>
      </c>
      <c r="H143" s="39" t="s">
        <v>355</v>
      </c>
      <c r="I143" s="40" t="s">
        <v>1803</v>
      </c>
      <c r="J143" s="34">
        <v>99</v>
      </c>
      <c r="K143" s="36" t="s">
        <v>707</v>
      </c>
      <c r="L143" s="36"/>
      <c r="M143" s="37"/>
      <c r="N143" s="37" t="s">
        <v>1740</v>
      </c>
      <c r="O143" s="38">
        <v>1</v>
      </c>
      <c r="P143" s="38">
        <v>1</v>
      </c>
      <c r="Q143" s="39"/>
      <c r="S143" s="1">
        <f t="shared" si="79"/>
        <v>0</v>
      </c>
      <c r="T143" s="1">
        <f t="shared" si="80"/>
        <v>0</v>
      </c>
      <c r="U143" s="1">
        <f t="shared" si="81"/>
        <v>0</v>
      </c>
      <c r="V143" s="1">
        <f t="shared" si="82"/>
        <v>0</v>
      </c>
      <c r="W143" s="1">
        <f t="shared" si="83"/>
        <v>0</v>
      </c>
      <c r="X143" s="1">
        <f t="shared" si="84"/>
        <v>0</v>
      </c>
      <c r="Y143" s="1">
        <f t="shared" si="85"/>
        <v>0</v>
      </c>
      <c r="Z143" s="1">
        <f t="shared" si="86"/>
        <v>0</v>
      </c>
      <c r="AA143" s="1">
        <f t="shared" si="87"/>
        <v>0</v>
      </c>
      <c r="AB143" s="1">
        <f t="shared" si="88"/>
        <v>0</v>
      </c>
      <c r="AD143" s="1">
        <f t="shared" si="89"/>
        <v>1</v>
      </c>
      <c r="AE143" s="1">
        <f t="shared" si="90"/>
        <v>0</v>
      </c>
      <c r="AF143" s="1">
        <f t="shared" si="75"/>
        <v>1</v>
      </c>
      <c r="AG143" s="1">
        <f t="shared" si="76"/>
        <v>0</v>
      </c>
      <c r="AH143" s="1">
        <f t="shared" si="77"/>
        <v>1</v>
      </c>
      <c r="AI143" s="1">
        <f t="shared" si="78"/>
        <v>0</v>
      </c>
    </row>
    <row r="144" spans="1:35" ht="14.25" customHeight="1" x14ac:dyDescent="0.25">
      <c r="A144" s="34">
        <v>0</v>
      </c>
      <c r="B144" s="34">
        <v>1</v>
      </c>
      <c r="C144" s="34">
        <v>3</v>
      </c>
      <c r="D144" s="35" t="s">
        <v>531</v>
      </c>
      <c r="E144" s="35" t="s">
        <v>171</v>
      </c>
      <c r="F144" s="35" t="s">
        <v>661</v>
      </c>
      <c r="G144" s="35" t="s">
        <v>39</v>
      </c>
      <c r="H144" s="35" t="s">
        <v>532</v>
      </c>
      <c r="I144" s="34" t="s">
        <v>533</v>
      </c>
      <c r="J144" s="34">
        <v>18</v>
      </c>
      <c r="K144" s="36" t="s">
        <v>960</v>
      </c>
      <c r="L144" s="36" t="s">
        <v>1749</v>
      </c>
      <c r="M144" s="37" t="s">
        <v>974</v>
      </c>
      <c r="N144" s="37" t="s">
        <v>1740</v>
      </c>
      <c r="O144" s="38">
        <v>1</v>
      </c>
      <c r="P144" s="38">
        <v>1</v>
      </c>
      <c r="Q144" s="35"/>
      <c r="S144" s="1">
        <f t="shared" si="79"/>
        <v>0</v>
      </c>
      <c r="T144" s="1">
        <f t="shared" si="80"/>
        <v>0</v>
      </c>
      <c r="U144" s="1">
        <f t="shared" si="81"/>
        <v>0</v>
      </c>
      <c r="V144" s="1">
        <f t="shared" si="82"/>
        <v>0</v>
      </c>
      <c r="W144" s="1">
        <f t="shared" si="83"/>
        <v>0</v>
      </c>
      <c r="X144" s="1">
        <f t="shared" si="84"/>
        <v>0</v>
      </c>
      <c r="Y144" s="1">
        <f t="shared" si="85"/>
        <v>0</v>
      </c>
      <c r="Z144" s="1">
        <f t="shared" si="86"/>
        <v>0</v>
      </c>
      <c r="AA144" s="1">
        <f t="shared" si="87"/>
        <v>0</v>
      </c>
      <c r="AB144" s="1">
        <f t="shared" si="88"/>
        <v>0</v>
      </c>
      <c r="AD144" s="1">
        <f t="shared" si="89"/>
        <v>1</v>
      </c>
      <c r="AE144" s="1">
        <f t="shared" si="90"/>
        <v>0</v>
      </c>
      <c r="AF144" s="1">
        <f t="shared" si="75"/>
        <v>1</v>
      </c>
      <c r="AG144" s="1">
        <f t="shared" si="76"/>
        <v>0</v>
      </c>
      <c r="AH144" s="1">
        <f t="shared" si="77"/>
        <v>1</v>
      </c>
      <c r="AI144" s="1">
        <f t="shared" si="78"/>
        <v>0</v>
      </c>
    </row>
    <row r="145" spans="1:35" ht="14.25" customHeight="1" x14ac:dyDescent="0.25">
      <c r="A145" s="47">
        <v>0</v>
      </c>
      <c r="B145" s="47">
        <v>1</v>
      </c>
      <c r="C145" s="47">
        <v>3</v>
      </c>
      <c r="D145" s="48" t="s">
        <v>979</v>
      </c>
      <c r="E145" s="48" t="s">
        <v>176</v>
      </c>
      <c r="F145" s="48" t="s">
        <v>809</v>
      </c>
      <c r="G145" s="48" t="s">
        <v>39</v>
      </c>
      <c r="H145" s="48" t="s">
        <v>810</v>
      </c>
      <c r="I145" s="47" t="s">
        <v>811</v>
      </c>
      <c r="J145" s="47">
        <v>16</v>
      </c>
      <c r="K145" s="49" t="s">
        <v>961</v>
      </c>
      <c r="L145" s="49" t="s">
        <v>1147</v>
      </c>
      <c r="M145" s="50" t="s">
        <v>974</v>
      </c>
      <c r="N145" s="50" t="s">
        <v>1746</v>
      </c>
      <c r="O145" s="51"/>
      <c r="P145" s="51"/>
      <c r="Q145" s="48"/>
      <c r="S145" s="1">
        <f t="shared" si="79"/>
        <v>0</v>
      </c>
      <c r="T145" s="1">
        <f t="shared" si="80"/>
        <v>0</v>
      </c>
      <c r="U145" s="1">
        <f t="shared" si="81"/>
        <v>0</v>
      </c>
      <c r="V145" s="1">
        <f t="shared" si="82"/>
        <v>0</v>
      </c>
      <c r="W145" s="1">
        <f t="shared" si="83"/>
        <v>0</v>
      </c>
      <c r="X145" s="1">
        <f t="shared" si="84"/>
        <v>0</v>
      </c>
      <c r="Y145" s="1">
        <f t="shared" si="85"/>
        <v>0</v>
      </c>
      <c r="Z145" s="1">
        <f t="shared" si="86"/>
        <v>0</v>
      </c>
      <c r="AA145" s="1">
        <f t="shared" si="87"/>
        <v>0</v>
      </c>
      <c r="AB145" s="1">
        <f t="shared" si="88"/>
        <v>0</v>
      </c>
      <c r="AD145" s="1">
        <f t="shared" si="89"/>
        <v>0</v>
      </c>
      <c r="AE145" s="1">
        <f t="shared" si="90"/>
        <v>0</v>
      </c>
      <c r="AF145" s="1">
        <f t="shared" si="75"/>
        <v>0</v>
      </c>
      <c r="AG145" s="1">
        <f t="shared" si="76"/>
        <v>0</v>
      </c>
      <c r="AH145" s="1">
        <f t="shared" si="77"/>
        <v>0</v>
      </c>
      <c r="AI145" s="1">
        <f t="shared" si="78"/>
        <v>1</v>
      </c>
    </row>
    <row r="146" spans="1:35" ht="14.25" customHeight="1" x14ac:dyDescent="0.25">
      <c r="A146" s="34">
        <v>0</v>
      </c>
      <c r="B146" s="34">
        <v>1</v>
      </c>
      <c r="C146" s="34">
        <v>3</v>
      </c>
      <c r="D146" s="35" t="s">
        <v>1205</v>
      </c>
      <c r="E146" s="35" t="s">
        <v>173</v>
      </c>
      <c r="F146" s="35" t="s">
        <v>1206</v>
      </c>
      <c r="G146" s="35" t="s">
        <v>239</v>
      </c>
      <c r="H146" s="35" t="s">
        <v>355</v>
      </c>
      <c r="I146" s="34" t="s">
        <v>1207</v>
      </c>
      <c r="J146" s="34">
        <v>4</v>
      </c>
      <c r="K146" s="36" t="s">
        <v>967</v>
      </c>
      <c r="L146" s="36" t="s">
        <v>1706</v>
      </c>
      <c r="M146" s="37" t="s">
        <v>1611</v>
      </c>
      <c r="N146" s="37" t="s">
        <v>1734</v>
      </c>
      <c r="O146" s="38">
        <v>1</v>
      </c>
      <c r="P146" s="38">
        <v>1</v>
      </c>
      <c r="Q146" s="35"/>
      <c r="S146" s="1">
        <f t="shared" si="79"/>
        <v>0</v>
      </c>
      <c r="T146" s="1">
        <f t="shared" si="80"/>
        <v>0</v>
      </c>
      <c r="U146" s="1">
        <f t="shared" si="81"/>
        <v>0</v>
      </c>
      <c r="V146" s="1">
        <f t="shared" si="82"/>
        <v>1</v>
      </c>
      <c r="W146" s="1">
        <f t="shared" si="83"/>
        <v>0</v>
      </c>
      <c r="X146" s="1">
        <f t="shared" si="84"/>
        <v>0</v>
      </c>
      <c r="Y146" s="1">
        <f t="shared" si="85"/>
        <v>0</v>
      </c>
      <c r="Z146" s="1">
        <f t="shared" si="86"/>
        <v>0</v>
      </c>
      <c r="AA146" s="1">
        <f t="shared" si="87"/>
        <v>0</v>
      </c>
      <c r="AB146" s="1">
        <f t="shared" si="88"/>
        <v>0</v>
      </c>
      <c r="AD146" s="1">
        <f t="shared" si="89"/>
        <v>1</v>
      </c>
      <c r="AE146" s="1">
        <f t="shared" si="90"/>
        <v>0</v>
      </c>
      <c r="AF146" s="1">
        <f t="shared" si="75"/>
        <v>1</v>
      </c>
      <c r="AG146" s="1">
        <f t="shared" si="76"/>
        <v>0</v>
      </c>
      <c r="AH146" s="1">
        <f t="shared" si="77"/>
        <v>1</v>
      </c>
      <c r="AI146" s="1">
        <f t="shared" si="78"/>
        <v>0</v>
      </c>
    </row>
    <row r="147" spans="1:35" ht="14.25" customHeight="1" x14ac:dyDescent="0.25">
      <c r="A147" s="34">
        <v>0</v>
      </c>
      <c r="B147" s="34">
        <v>1</v>
      </c>
      <c r="C147" s="34">
        <v>3</v>
      </c>
      <c r="D147" s="35" t="s">
        <v>1648</v>
      </c>
      <c r="E147" s="35" t="s">
        <v>171</v>
      </c>
      <c r="F147" s="35" t="s">
        <v>1483</v>
      </c>
      <c r="G147" s="35" t="s">
        <v>1676</v>
      </c>
      <c r="H147" s="35" t="s">
        <v>355</v>
      </c>
      <c r="I147" s="34" t="s">
        <v>1482</v>
      </c>
      <c r="J147" s="34">
        <v>99</v>
      </c>
      <c r="K147" s="36" t="s">
        <v>706</v>
      </c>
      <c r="L147" s="36" t="s">
        <v>1711</v>
      </c>
      <c r="M147" s="37" t="s">
        <v>1484</v>
      </c>
      <c r="N147" s="37" t="s">
        <v>1756</v>
      </c>
      <c r="O147" s="38">
        <v>1</v>
      </c>
      <c r="P147" s="38"/>
      <c r="Q147" s="35"/>
      <c r="S147" s="1">
        <f t="shared" si="79"/>
        <v>0</v>
      </c>
      <c r="T147" s="1">
        <f t="shared" si="80"/>
        <v>0</v>
      </c>
      <c r="U147" s="1">
        <f t="shared" si="81"/>
        <v>0</v>
      </c>
      <c r="V147" s="1">
        <f t="shared" si="82"/>
        <v>0</v>
      </c>
      <c r="W147" s="1">
        <f t="shared" si="83"/>
        <v>0</v>
      </c>
      <c r="X147" s="1">
        <f t="shared" si="84"/>
        <v>0</v>
      </c>
      <c r="Y147" s="1">
        <f t="shared" si="85"/>
        <v>0</v>
      </c>
      <c r="Z147" s="1">
        <f t="shared" si="86"/>
        <v>0</v>
      </c>
      <c r="AA147" s="1">
        <f t="shared" si="87"/>
        <v>0</v>
      </c>
      <c r="AB147" s="1">
        <f t="shared" si="88"/>
        <v>0</v>
      </c>
      <c r="AD147" s="1">
        <f t="shared" si="89"/>
        <v>0</v>
      </c>
      <c r="AE147" s="1">
        <f t="shared" si="90"/>
        <v>1</v>
      </c>
      <c r="AF147" s="1">
        <f t="shared" si="75"/>
        <v>0</v>
      </c>
      <c r="AG147" s="1">
        <f t="shared" si="76"/>
        <v>1</v>
      </c>
      <c r="AH147" s="1">
        <f t="shared" si="77"/>
        <v>0</v>
      </c>
      <c r="AI147" s="1">
        <f t="shared" si="78"/>
        <v>1</v>
      </c>
    </row>
    <row r="148" spans="1:35" ht="14.25" customHeight="1" x14ac:dyDescent="0.25">
      <c r="A148" s="15">
        <v>0</v>
      </c>
      <c r="B148" s="15">
        <v>1</v>
      </c>
      <c r="C148" s="15">
        <v>3</v>
      </c>
      <c r="D148" s="20" t="s">
        <v>1955</v>
      </c>
      <c r="E148" s="20" t="s">
        <v>173</v>
      </c>
      <c r="F148" s="20" t="s">
        <v>1971</v>
      </c>
      <c r="G148" s="20"/>
      <c r="H148" s="20" t="s">
        <v>1970</v>
      </c>
      <c r="I148" s="21" t="s">
        <v>1969</v>
      </c>
      <c r="J148" s="15">
        <v>14</v>
      </c>
      <c r="K148" s="10" t="s">
        <v>707</v>
      </c>
      <c r="L148" s="10" t="s">
        <v>701</v>
      </c>
      <c r="M148" s="19" t="s">
        <v>975</v>
      </c>
      <c r="N148" s="17"/>
      <c r="Q148" s="20" t="s">
        <v>1972</v>
      </c>
      <c r="S148" s="1">
        <f t="shared" si="79"/>
        <v>0</v>
      </c>
      <c r="T148" s="1">
        <f t="shared" si="80"/>
        <v>0</v>
      </c>
      <c r="U148" s="1">
        <f t="shared" si="81"/>
        <v>0</v>
      </c>
      <c r="V148" s="1">
        <f t="shared" si="82"/>
        <v>0</v>
      </c>
      <c r="W148" s="1">
        <f t="shared" si="83"/>
        <v>0</v>
      </c>
      <c r="X148" s="1">
        <f t="shared" si="84"/>
        <v>0</v>
      </c>
      <c r="Y148" s="1">
        <f t="shared" si="85"/>
        <v>0</v>
      </c>
      <c r="Z148" s="1">
        <f t="shared" si="86"/>
        <v>0</v>
      </c>
      <c r="AA148" s="1">
        <f t="shared" si="87"/>
        <v>0</v>
      </c>
      <c r="AB148" s="1">
        <f t="shared" si="88"/>
        <v>0</v>
      </c>
      <c r="AD148" s="1">
        <f t="shared" si="89"/>
        <v>0</v>
      </c>
      <c r="AE148" s="1">
        <f t="shared" si="90"/>
        <v>0</v>
      </c>
      <c r="AF148" s="1">
        <f t="shared" si="75"/>
        <v>0</v>
      </c>
      <c r="AG148" s="1">
        <f t="shared" si="76"/>
        <v>0</v>
      </c>
      <c r="AH148" s="1">
        <f t="shared" si="77"/>
        <v>0</v>
      </c>
      <c r="AI148" s="1">
        <f t="shared" si="78"/>
        <v>1</v>
      </c>
    </row>
    <row r="149" spans="1:35" ht="14.25" customHeight="1" x14ac:dyDescent="0.25">
      <c r="A149" s="34">
        <v>0</v>
      </c>
      <c r="B149" s="34">
        <v>1</v>
      </c>
      <c r="C149" s="34">
        <v>3</v>
      </c>
      <c r="D149" s="35" t="s">
        <v>145</v>
      </c>
      <c r="E149" s="35" t="s">
        <v>173</v>
      </c>
      <c r="F149" s="35" t="s">
        <v>348</v>
      </c>
      <c r="G149" s="35" t="s">
        <v>39</v>
      </c>
      <c r="H149" s="35" t="s">
        <v>379</v>
      </c>
      <c r="I149" s="34" t="s">
        <v>1369</v>
      </c>
      <c r="J149" s="34">
        <v>14</v>
      </c>
      <c r="K149" s="36" t="s">
        <v>960</v>
      </c>
      <c r="L149" s="36" t="s">
        <v>693</v>
      </c>
      <c r="M149" s="37" t="s">
        <v>695</v>
      </c>
      <c r="N149" s="37" t="s">
        <v>1755</v>
      </c>
      <c r="O149" s="38">
        <v>1</v>
      </c>
      <c r="P149" s="38"/>
      <c r="Q149" s="35"/>
      <c r="S149" s="1">
        <f t="shared" si="79"/>
        <v>0</v>
      </c>
      <c r="T149" s="1">
        <f t="shared" si="80"/>
        <v>0</v>
      </c>
      <c r="U149" s="1">
        <f t="shared" si="81"/>
        <v>0</v>
      </c>
      <c r="V149" s="1">
        <f t="shared" si="82"/>
        <v>0</v>
      </c>
      <c r="W149" s="1">
        <f t="shared" si="83"/>
        <v>0</v>
      </c>
      <c r="X149" s="1">
        <f t="shared" si="84"/>
        <v>0</v>
      </c>
      <c r="Y149" s="1">
        <f t="shared" si="85"/>
        <v>0</v>
      </c>
      <c r="Z149" s="1">
        <f t="shared" si="86"/>
        <v>0</v>
      </c>
      <c r="AA149" s="1">
        <f t="shared" si="87"/>
        <v>0</v>
      </c>
      <c r="AB149" s="1">
        <f t="shared" si="88"/>
        <v>0</v>
      </c>
      <c r="AD149" s="1">
        <f t="shared" si="89"/>
        <v>0</v>
      </c>
      <c r="AE149" s="1">
        <f t="shared" si="90"/>
        <v>1</v>
      </c>
      <c r="AF149" s="1">
        <f t="shared" si="75"/>
        <v>0</v>
      </c>
      <c r="AG149" s="1">
        <f t="shared" si="76"/>
        <v>1</v>
      </c>
      <c r="AH149" s="1">
        <f t="shared" si="77"/>
        <v>0</v>
      </c>
      <c r="AI149" s="1">
        <f t="shared" si="78"/>
        <v>1</v>
      </c>
    </row>
    <row r="150" spans="1:35" ht="14.25" customHeight="1" x14ac:dyDescent="0.25">
      <c r="A150" s="34">
        <v>0</v>
      </c>
      <c r="B150" s="34">
        <v>1</v>
      </c>
      <c r="C150" s="34">
        <v>3</v>
      </c>
      <c r="D150" s="35" t="s">
        <v>1574</v>
      </c>
      <c r="E150" s="35" t="s">
        <v>173</v>
      </c>
      <c r="F150" s="35" t="s">
        <v>1575</v>
      </c>
      <c r="G150" s="35" t="s">
        <v>39</v>
      </c>
      <c r="H150" s="35" t="s">
        <v>1576</v>
      </c>
      <c r="I150" s="34" t="s">
        <v>1577</v>
      </c>
      <c r="J150" s="34">
        <v>17</v>
      </c>
      <c r="K150" s="36" t="s">
        <v>726</v>
      </c>
      <c r="L150" s="36" t="s">
        <v>39</v>
      </c>
      <c r="M150" s="37" t="s">
        <v>39</v>
      </c>
      <c r="N150" s="37" t="s">
        <v>1740</v>
      </c>
      <c r="O150" s="38">
        <v>1</v>
      </c>
      <c r="P150" s="38">
        <v>1</v>
      </c>
      <c r="Q150" s="35" t="s">
        <v>1920</v>
      </c>
      <c r="S150" s="1">
        <f t="shared" si="79"/>
        <v>0</v>
      </c>
      <c r="T150" s="1">
        <f t="shared" si="80"/>
        <v>0</v>
      </c>
      <c r="U150" s="1">
        <f t="shared" si="81"/>
        <v>0</v>
      </c>
      <c r="V150" s="1">
        <f t="shared" si="82"/>
        <v>0</v>
      </c>
      <c r="W150" s="1">
        <f t="shared" si="83"/>
        <v>0</v>
      </c>
      <c r="X150" s="1">
        <f t="shared" si="84"/>
        <v>0</v>
      </c>
      <c r="Y150" s="1">
        <f t="shared" si="85"/>
        <v>0</v>
      </c>
      <c r="Z150" s="1">
        <f t="shared" si="86"/>
        <v>0</v>
      </c>
      <c r="AA150" s="1">
        <f t="shared" si="87"/>
        <v>0</v>
      </c>
      <c r="AB150" s="1">
        <f t="shared" si="88"/>
        <v>0</v>
      </c>
      <c r="AD150" s="1">
        <f t="shared" si="89"/>
        <v>1</v>
      </c>
      <c r="AE150" s="1">
        <f t="shared" si="90"/>
        <v>0</v>
      </c>
      <c r="AF150" s="1">
        <f t="shared" si="75"/>
        <v>1</v>
      </c>
      <c r="AG150" s="1">
        <f t="shared" si="76"/>
        <v>0</v>
      </c>
      <c r="AH150" s="1">
        <f t="shared" si="77"/>
        <v>1</v>
      </c>
      <c r="AI150" s="1">
        <f t="shared" si="78"/>
        <v>0</v>
      </c>
    </row>
    <row r="151" spans="1:35" ht="14.25" customHeight="1" x14ac:dyDescent="0.25">
      <c r="A151" s="47">
        <v>0</v>
      </c>
      <c r="B151" s="47">
        <v>1</v>
      </c>
      <c r="C151" s="47">
        <v>3</v>
      </c>
      <c r="D151" s="48" t="s">
        <v>154</v>
      </c>
      <c r="E151" s="48" t="s">
        <v>173</v>
      </c>
      <c r="F151" s="48" t="s">
        <v>354</v>
      </c>
      <c r="G151" s="48" t="s">
        <v>39</v>
      </c>
      <c r="H151" s="68" t="s">
        <v>1876</v>
      </c>
      <c r="I151" s="47" t="s">
        <v>502</v>
      </c>
      <c r="J151" s="47">
        <v>14</v>
      </c>
      <c r="K151" s="49" t="s">
        <v>706</v>
      </c>
      <c r="L151" s="49" t="s">
        <v>693</v>
      </c>
      <c r="M151" s="50" t="s">
        <v>974</v>
      </c>
      <c r="N151" s="50" t="s">
        <v>1746</v>
      </c>
      <c r="O151" s="51"/>
      <c r="P151" s="51"/>
      <c r="Q151" s="68" t="s">
        <v>1903</v>
      </c>
      <c r="S151" s="1">
        <f t="shared" si="79"/>
        <v>0</v>
      </c>
      <c r="T151" s="1">
        <f t="shared" si="80"/>
        <v>0</v>
      </c>
      <c r="U151" s="1">
        <f t="shared" si="81"/>
        <v>0</v>
      </c>
      <c r="V151" s="1">
        <f t="shared" si="82"/>
        <v>0</v>
      </c>
      <c r="W151" s="1">
        <f t="shared" si="83"/>
        <v>0</v>
      </c>
      <c r="X151" s="1">
        <f t="shared" si="84"/>
        <v>0</v>
      </c>
      <c r="Y151" s="1">
        <f t="shared" si="85"/>
        <v>0</v>
      </c>
      <c r="Z151" s="1">
        <f t="shared" si="86"/>
        <v>0</v>
      </c>
      <c r="AA151" s="1">
        <f t="shared" si="87"/>
        <v>0</v>
      </c>
      <c r="AB151" s="1">
        <f t="shared" si="88"/>
        <v>0</v>
      </c>
      <c r="AD151" s="1">
        <f t="shared" si="89"/>
        <v>0</v>
      </c>
      <c r="AE151" s="1">
        <f t="shared" si="90"/>
        <v>0</v>
      </c>
      <c r="AF151" s="1">
        <f t="shared" si="75"/>
        <v>0</v>
      </c>
      <c r="AG151" s="1">
        <f t="shared" si="76"/>
        <v>0</v>
      </c>
      <c r="AH151" s="1">
        <f t="shared" si="77"/>
        <v>0</v>
      </c>
      <c r="AI151" s="1">
        <f t="shared" si="78"/>
        <v>1</v>
      </c>
    </row>
    <row r="152" spans="1:35" ht="14.25" customHeight="1" x14ac:dyDescent="0.25">
      <c r="A152" s="15">
        <v>0</v>
      </c>
      <c r="B152" s="15">
        <v>1</v>
      </c>
      <c r="C152" s="15">
        <v>3</v>
      </c>
      <c r="D152" s="16" t="s">
        <v>743</v>
      </c>
      <c r="E152" s="16" t="s">
        <v>173</v>
      </c>
      <c r="F152" s="16" t="s">
        <v>744</v>
      </c>
      <c r="G152" s="16" t="s">
        <v>39</v>
      </c>
      <c r="H152" s="16" t="s">
        <v>745</v>
      </c>
      <c r="I152" s="15" t="s">
        <v>746</v>
      </c>
      <c r="J152" s="15">
        <v>17</v>
      </c>
      <c r="K152" s="10" t="s">
        <v>726</v>
      </c>
      <c r="L152" s="10" t="s">
        <v>701</v>
      </c>
      <c r="M152" s="19" t="s">
        <v>695</v>
      </c>
      <c r="N152" s="17"/>
      <c r="Q152" s="16" t="s">
        <v>1894</v>
      </c>
      <c r="S152" s="1">
        <f t="shared" si="79"/>
        <v>0</v>
      </c>
      <c r="T152" s="1">
        <f t="shared" si="80"/>
        <v>0</v>
      </c>
      <c r="U152" s="1">
        <f t="shared" si="81"/>
        <v>0</v>
      </c>
      <c r="V152" s="1">
        <f t="shared" si="82"/>
        <v>0</v>
      </c>
      <c r="W152" s="1">
        <f t="shared" si="83"/>
        <v>0</v>
      </c>
      <c r="X152" s="1">
        <f t="shared" si="84"/>
        <v>0</v>
      </c>
      <c r="Y152" s="1">
        <f t="shared" si="85"/>
        <v>0</v>
      </c>
      <c r="Z152" s="1">
        <f t="shared" si="86"/>
        <v>0</v>
      </c>
      <c r="AA152" s="1">
        <f t="shared" si="87"/>
        <v>0</v>
      </c>
      <c r="AB152" s="1">
        <f t="shared" si="88"/>
        <v>0</v>
      </c>
      <c r="AD152" s="1">
        <f t="shared" si="89"/>
        <v>0</v>
      </c>
      <c r="AE152" s="1">
        <f t="shared" si="90"/>
        <v>0</v>
      </c>
      <c r="AF152" s="1">
        <f t="shared" si="75"/>
        <v>0</v>
      </c>
      <c r="AG152" s="1">
        <f t="shared" si="76"/>
        <v>0</v>
      </c>
      <c r="AH152" s="1">
        <f t="shared" si="77"/>
        <v>0</v>
      </c>
      <c r="AI152" s="1">
        <f t="shared" si="78"/>
        <v>1</v>
      </c>
    </row>
    <row r="153" spans="1:35" ht="14.25" customHeight="1" x14ac:dyDescent="0.25">
      <c r="A153" s="47">
        <v>0</v>
      </c>
      <c r="B153" s="47">
        <v>1</v>
      </c>
      <c r="C153" s="47">
        <v>3</v>
      </c>
      <c r="D153" s="48" t="s">
        <v>908</v>
      </c>
      <c r="E153" s="48" t="s">
        <v>173</v>
      </c>
      <c r="F153" s="48" t="s">
        <v>1100</v>
      </c>
      <c r="G153" s="48" t="s">
        <v>39</v>
      </c>
      <c r="H153" s="48" t="s">
        <v>910</v>
      </c>
      <c r="I153" s="47" t="s">
        <v>909</v>
      </c>
      <c r="J153" s="47">
        <v>11</v>
      </c>
      <c r="K153" s="49" t="s">
        <v>961</v>
      </c>
      <c r="L153" s="49">
        <v>60</v>
      </c>
      <c r="M153" s="50" t="s">
        <v>39</v>
      </c>
      <c r="N153" s="50" t="s">
        <v>1746</v>
      </c>
      <c r="O153" s="51"/>
      <c r="P153" s="51"/>
      <c r="Q153" s="48"/>
      <c r="S153" s="1">
        <f t="shared" si="79"/>
        <v>0</v>
      </c>
      <c r="T153" s="1">
        <f t="shared" si="80"/>
        <v>0</v>
      </c>
      <c r="U153" s="1">
        <f t="shared" si="81"/>
        <v>0</v>
      </c>
      <c r="V153" s="1">
        <f t="shared" si="82"/>
        <v>0</v>
      </c>
      <c r="W153" s="1">
        <f t="shared" si="83"/>
        <v>0</v>
      </c>
      <c r="X153" s="1">
        <f t="shared" si="84"/>
        <v>0</v>
      </c>
      <c r="Y153" s="1">
        <f t="shared" si="85"/>
        <v>0</v>
      </c>
      <c r="Z153" s="1">
        <f t="shared" si="86"/>
        <v>0</v>
      </c>
      <c r="AA153" s="1">
        <f t="shared" si="87"/>
        <v>0</v>
      </c>
      <c r="AB153" s="1">
        <f t="shared" si="88"/>
        <v>0</v>
      </c>
      <c r="AD153" s="1">
        <f t="shared" si="89"/>
        <v>0</v>
      </c>
      <c r="AE153" s="1">
        <f t="shared" si="90"/>
        <v>0</v>
      </c>
      <c r="AF153" s="1">
        <f t="shared" si="75"/>
        <v>0</v>
      </c>
      <c r="AG153" s="1">
        <f t="shared" si="76"/>
        <v>0</v>
      </c>
      <c r="AH153" s="1">
        <f t="shared" si="77"/>
        <v>0</v>
      </c>
      <c r="AI153" s="1">
        <f t="shared" si="78"/>
        <v>1</v>
      </c>
    </row>
    <row r="154" spans="1:35" ht="14.25" customHeight="1" x14ac:dyDescent="0.25">
      <c r="A154" s="47">
        <v>0</v>
      </c>
      <c r="B154" s="47">
        <v>1</v>
      </c>
      <c r="C154" s="47">
        <v>3</v>
      </c>
      <c r="D154" s="48" t="s">
        <v>123</v>
      </c>
      <c r="E154" s="48" t="s">
        <v>176</v>
      </c>
      <c r="F154" s="48" t="s">
        <v>325</v>
      </c>
      <c r="G154" s="48" t="s">
        <v>39</v>
      </c>
      <c r="H154" s="48" t="s">
        <v>364</v>
      </c>
      <c r="I154" s="47" t="s">
        <v>471</v>
      </c>
      <c r="J154" s="47">
        <v>14</v>
      </c>
      <c r="K154" s="49" t="s">
        <v>726</v>
      </c>
      <c r="L154" s="49" t="s">
        <v>697</v>
      </c>
      <c r="M154" s="50" t="s">
        <v>1386</v>
      </c>
      <c r="N154" s="50" t="s">
        <v>1816</v>
      </c>
      <c r="O154" s="51"/>
      <c r="P154" s="51"/>
      <c r="Q154" s="48"/>
      <c r="S154" s="1">
        <f t="shared" si="79"/>
        <v>0</v>
      </c>
      <c r="T154" s="1">
        <f t="shared" si="80"/>
        <v>0</v>
      </c>
      <c r="U154" s="1">
        <f t="shared" si="81"/>
        <v>0</v>
      </c>
      <c r="V154" s="1">
        <f t="shared" si="82"/>
        <v>0</v>
      </c>
      <c r="W154" s="1">
        <f t="shared" si="83"/>
        <v>0</v>
      </c>
      <c r="X154" s="1">
        <f t="shared" si="84"/>
        <v>0</v>
      </c>
      <c r="Y154" s="1">
        <f t="shared" si="85"/>
        <v>0</v>
      </c>
      <c r="Z154" s="1">
        <f t="shared" si="86"/>
        <v>0</v>
      </c>
      <c r="AA154" s="1">
        <f t="shared" si="87"/>
        <v>0</v>
      </c>
      <c r="AB154" s="1">
        <f t="shared" si="88"/>
        <v>0</v>
      </c>
      <c r="AD154" s="1">
        <f t="shared" si="89"/>
        <v>0</v>
      </c>
      <c r="AE154" s="1">
        <f t="shared" si="90"/>
        <v>0</v>
      </c>
      <c r="AF154" s="1">
        <f t="shared" si="75"/>
        <v>0</v>
      </c>
      <c r="AG154" s="1">
        <f t="shared" si="76"/>
        <v>0</v>
      </c>
      <c r="AH154" s="1">
        <f t="shared" si="77"/>
        <v>0</v>
      </c>
      <c r="AI154" s="1">
        <f t="shared" si="78"/>
        <v>1</v>
      </c>
    </row>
    <row r="155" spans="1:35" ht="14.25" customHeight="1" x14ac:dyDescent="0.25">
      <c r="A155" s="15">
        <v>0</v>
      </c>
      <c r="B155" s="15">
        <v>1</v>
      </c>
      <c r="C155" s="15">
        <v>3</v>
      </c>
      <c r="D155" s="16" t="s">
        <v>1176</v>
      </c>
      <c r="E155" s="16" t="s">
        <v>173</v>
      </c>
      <c r="F155" s="16" t="s">
        <v>1178</v>
      </c>
      <c r="G155" s="16" t="s">
        <v>771</v>
      </c>
      <c r="H155" s="16" t="s">
        <v>355</v>
      </c>
      <c r="I155" s="15" t="s">
        <v>1177</v>
      </c>
      <c r="J155" s="15">
        <v>99</v>
      </c>
      <c r="K155" s="10" t="s">
        <v>707</v>
      </c>
      <c r="L155" s="10">
        <v>30</v>
      </c>
      <c r="M155" s="19" t="s">
        <v>974</v>
      </c>
      <c r="N155" s="19"/>
      <c r="Q155" s="16"/>
      <c r="S155" s="1">
        <f t="shared" si="79"/>
        <v>0</v>
      </c>
      <c r="T155" s="1">
        <f t="shared" si="80"/>
        <v>0</v>
      </c>
      <c r="U155" s="1">
        <f t="shared" si="81"/>
        <v>0</v>
      </c>
      <c r="V155" s="1">
        <f t="shared" si="82"/>
        <v>0</v>
      </c>
      <c r="W155" s="1">
        <f t="shared" si="83"/>
        <v>0</v>
      </c>
      <c r="X155" s="1">
        <f t="shared" si="84"/>
        <v>0</v>
      </c>
      <c r="Y155" s="1">
        <f t="shared" si="85"/>
        <v>0</v>
      </c>
      <c r="Z155" s="1">
        <f t="shared" si="86"/>
        <v>0</v>
      </c>
      <c r="AA155" s="1">
        <f t="shared" si="87"/>
        <v>0</v>
      </c>
      <c r="AB155" s="1">
        <f t="shared" si="88"/>
        <v>0</v>
      </c>
      <c r="AD155" s="1">
        <f t="shared" si="89"/>
        <v>0</v>
      </c>
      <c r="AE155" s="1">
        <f t="shared" si="90"/>
        <v>0</v>
      </c>
      <c r="AF155" s="1">
        <f t="shared" si="75"/>
        <v>0</v>
      </c>
      <c r="AG155" s="1">
        <f t="shared" si="76"/>
        <v>0</v>
      </c>
      <c r="AH155" s="1">
        <f t="shared" si="77"/>
        <v>0</v>
      </c>
      <c r="AI155" s="1">
        <f t="shared" si="78"/>
        <v>1</v>
      </c>
    </row>
    <row r="156" spans="1:35" ht="14.25" customHeight="1" x14ac:dyDescent="0.25">
      <c r="A156" s="15">
        <v>0</v>
      </c>
      <c r="B156" s="15">
        <v>1</v>
      </c>
      <c r="C156" s="15">
        <v>3</v>
      </c>
      <c r="D156" s="16" t="s">
        <v>747</v>
      </c>
      <c r="E156" s="16" t="s">
        <v>171</v>
      </c>
      <c r="F156" s="16" t="s">
        <v>748</v>
      </c>
      <c r="G156" s="16" t="s">
        <v>39</v>
      </c>
      <c r="H156" s="16" t="s">
        <v>749</v>
      </c>
      <c r="I156" s="15" t="s">
        <v>750</v>
      </c>
      <c r="J156" s="15">
        <v>17</v>
      </c>
      <c r="K156" s="10" t="s">
        <v>707</v>
      </c>
      <c r="L156" s="10" t="s">
        <v>701</v>
      </c>
      <c r="M156" s="19" t="s">
        <v>975</v>
      </c>
      <c r="N156" s="17"/>
      <c r="Q156" s="16"/>
      <c r="S156" s="1">
        <f t="shared" si="79"/>
        <v>0</v>
      </c>
      <c r="T156" s="1">
        <f t="shared" si="80"/>
        <v>0</v>
      </c>
      <c r="U156" s="1">
        <f t="shared" si="81"/>
        <v>0</v>
      </c>
      <c r="V156" s="1">
        <f t="shared" si="82"/>
        <v>0</v>
      </c>
      <c r="W156" s="1">
        <f t="shared" si="83"/>
        <v>0</v>
      </c>
      <c r="X156" s="1">
        <f t="shared" si="84"/>
        <v>0</v>
      </c>
      <c r="Y156" s="1">
        <f t="shared" si="85"/>
        <v>0</v>
      </c>
      <c r="Z156" s="1">
        <f t="shared" si="86"/>
        <v>0</v>
      </c>
      <c r="AA156" s="1">
        <f t="shared" si="87"/>
        <v>0</v>
      </c>
      <c r="AB156" s="1">
        <f t="shared" si="88"/>
        <v>0</v>
      </c>
      <c r="AD156" s="1">
        <f t="shared" si="89"/>
        <v>0</v>
      </c>
      <c r="AE156" s="1">
        <f t="shared" si="90"/>
        <v>0</v>
      </c>
      <c r="AF156" s="1">
        <f t="shared" si="75"/>
        <v>0</v>
      </c>
      <c r="AG156" s="1">
        <f t="shared" si="76"/>
        <v>0</v>
      </c>
      <c r="AH156" s="1">
        <f t="shared" si="77"/>
        <v>0</v>
      </c>
      <c r="AI156" s="1">
        <f t="shared" si="78"/>
        <v>1</v>
      </c>
    </row>
    <row r="157" spans="1:35" ht="14.25" customHeight="1" x14ac:dyDescent="0.25">
      <c r="A157" s="15">
        <v>0</v>
      </c>
      <c r="B157" s="15">
        <v>1</v>
      </c>
      <c r="C157" s="15">
        <v>3</v>
      </c>
      <c r="D157" s="20" t="s">
        <v>1954</v>
      </c>
      <c r="E157" s="20" t="s">
        <v>173</v>
      </c>
      <c r="F157" s="20" t="s">
        <v>1965</v>
      </c>
      <c r="G157" s="20"/>
      <c r="H157" s="20" t="s">
        <v>1966</v>
      </c>
      <c r="I157" s="21" t="s">
        <v>1967</v>
      </c>
      <c r="J157" s="15">
        <v>16</v>
      </c>
      <c r="K157" s="10" t="s">
        <v>707</v>
      </c>
      <c r="L157" s="10" t="s">
        <v>701</v>
      </c>
      <c r="M157" s="19" t="s">
        <v>975</v>
      </c>
      <c r="N157" s="17"/>
      <c r="Q157" s="20" t="s">
        <v>1964</v>
      </c>
      <c r="S157" s="1">
        <f t="shared" si="79"/>
        <v>0</v>
      </c>
      <c r="T157" s="1">
        <f t="shared" si="80"/>
        <v>0</v>
      </c>
      <c r="U157" s="1">
        <f t="shared" si="81"/>
        <v>0</v>
      </c>
      <c r="V157" s="1">
        <f t="shared" si="82"/>
        <v>0</v>
      </c>
      <c r="W157" s="1">
        <f t="shared" si="83"/>
        <v>0</v>
      </c>
      <c r="X157" s="1">
        <f t="shared" si="84"/>
        <v>0</v>
      </c>
      <c r="Y157" s="1">
        <f t="shared" si="85"/>
        <v>0</v>
      </c>
      <c r="Z157" s="1">
        <f t="shared" si="86"/>
        <v>0</v>
      </c>
      <c r="AA157" s="1">
        <f t="shared" si="87"/>
        <v>0</v>
      </c>
      <c r="AB157" s="1">
        <f t="shared" si="88"/>
        <v>0</v>
      </c>
      <c r="AD157" s="1">
        <f t="shared" si="89"/>
        <v>0</v>
      </c>
      <c r="AE157" s="1">
        <f t="shared" si="90"/>
        <v>0</v>
      </c>
      <c r="AF157" s="1">
        <f t="shared" si="75"/>
        <v>0</v>
      </c>
      <c r="AG157" s="1">
        <f t="shared" si="76"/>
        <v>0</v>
      </c>
      <c r="AH157" s="1">
        <f t="shared" si="77"/>
        <v>0</v>
      </c>
      <c r="AI157" s="1">
        <f t="shared" si="78"/>
        <v>1</v>
      </c>
    </row>
    <row r="158" spans="1:35" ht="14.25" customHeight="1" x14ac:dyDescent="0.25">
      <c r="A158" s="47">
        <v>0</v>
      </c>
      <c r="B158" s="47">
        <v>1</v>
      </c>
      <c r="C158" s="47">
        <v>3</v>
      </c>
      <c r="D158" s="48" t="s">
        <v>838</v>
      </c>
      <c r="E158" s="48" t="s">
        <v>918</v>
      </c>
      <c r="F158" s="48" t="s">
        <v>839</v>
      </c>
      <c r="G158" s="48" t="s">
        <v>209</v>
      </c>
      <c r="H158" s="48" t="s">
        <v>355</v>
      </c>
      <c r="I158" s="47" t="s">
        <v>840</v>
      </c>
      <c r="J158" s="47">
        <v>3</v>
      </c>
      <c r="K158" s="49" t="s">
        <v>726</v>
      </c>
      <c r="L158" s="49" t="s">
        <v>697</v>
      </c>
      <c r="M158" s="50" t="s">
        <v>702</v>
      </c>
      <c r="N158" s="50" t="s">
        <v>1747</v>
      </c>
      <c r="O158" s="51"/>
      <c r="P158" s="51"/>
      <c r="Q158" s="48"/>
      <c r="S158" s="1">
        <f t="shared" si="79"/>
        <v>0</v>
      </c>
      <c r="T158" s="1">
        <f t="shared" si="80"/>
        <v>0</v>
      </c>
      <c r="U158" s="1">
        <f t="shared" si="81"/>
        <v>1</v>
      </c>
      <c r="V158" s="1">
        <f t="shared" si="82"/>
        <v>0</v>
      </c>
      <c r="W158" s="1">
        <f t="shared" si="83"/>
        <v>0</v>
      </c>
      <c r="X158" s="1">
        <f t="shared" si="84"/>
        <v>0</v>
      </c>
      <c r="Y158" s="1">
        <f t="shared" si="85"/>
        <v>0</v>
      </c>
      <c r="Z158" s="1">
        <f t="shared" si="86"/>
        <v>0</v>
      </c>
      <c r="AA158" s="1">
        <f t="shared" si="87"/>
        <v>0</v>
      </c>
      <c r="AB158" s="1">
        <f t="shared" si="88"/>
        <v>0</v>
      </c>
      <c r="AD158" s="1">
        <f t="shared" si="89"/>
        <v>0</v>
      </c>
      <c r="AE158" s="1">
        <f t="shared" si="90"/>
        <v>0</v>
      </c>
      <c r="AF158" s="1">
        <f t="shared" si="75"/>
        <v>0</v>
      </c>
      <c r="AG158" s="1">
        <f t="shared" si="76"/>
        <v>0</v>
      </c>
      <c r="AH158" s="1">
        <f t="shared" si="77"/>
        <v>0</v>
      </c>
      <c r="AI158" s="1">
        <f t="shared" si="78"/>
        <v>1</v>
      </c>
    </row>
    <row r="159" spans="1:35" ht="14.25" customHeight="1" x14ac:dyDescent="0.25">
      <c r="A159" s="15">
        <v>0</v>
      </c>
      <c r="B159" s="15">
        <v>1</v>
      </c>
      <c r="C159" s="15">
        <v>3</v>
      </c>
      <c r="D159" s="20" t="s">
        <v>1960</v>
      </c>
      <c r="E159" s="20" t="s">
        <v>173</v>
      </c>
      <c r="F159" s="20" t="s">
        <v>1962</v>
      </c>
      <c r="G159" s="20"/>
      <c r="H159" s="20" t="s">
        <v>1963</v>
      </c>
      <c r="I159" s="21" t="s">
        <v>1961</v>
      </c>
      <c r="J159" s="15">
        <v>16</v>
      </c>
      <c r="K159" s="10" t="s">
        <v>707</v>
      </c>
      <c r="L159" s="10" t="s">
        <v>701</v>
      </c>
      <c r="M159" s="19" t="s">
        <v>975</v>
      </c>
      <c r="N159" s="17"/>
      <c r="Q159" s="20" t="s">
        <v>1968</v>
      </c>
      <c r="S159" s="1">
        <f t="shared" si="79"/>
        <v>0</v>
      </c>
      <c r="T159" s="1">
        <f t="shared" si="80"/>
        <v>0</v>
      </c>
      <c r="U159" s="1">
        <f t="shared" si="81"/>
        <v>0</v>
      </c>
      <c r="V159" s="1">
        <f t="shared" si="82"/>
        <v>0</v>
      </c>
      <c r="W159" s="1">
        <f t="shared" si="83"/>
        <v>0</v>
      </c>
      <c r="X159" s="1">
        <f t="shared" si="84"/>
        <v>0</v>
      </c>
      <c r="Y159" s="1">
        <f t="shared" si="85"/>
        <v>0</v>
      </c>
      <c r="Z159" s="1">
        <f t="shared" si="86"/>
        <v>0</v>
      </c>
      <c r="AA159" s="1">
        <f t="shared" si="87"/>
        <v>0</v>
      </c>
      <c r="AB159" s="1">
        <f t="shared" si="88"/>
        <v>0</v>
      </c>
      <c r="AD159" s="1">
        <f t="shared" si="89"/>
        <v>0</v>
      </c>
      <c r="AE159" s="1">
        <f t="shared" si="90"/>
        <v>0</v>
      </c>
      <c r="AF159" s="1">
        <f t="shared" si="75"/>
        <v>0</v>
      </c>
      <c r="AG159" s="1">
        <f t="shared" si="76"/>
        <v>0</v>
      </c>
      <c r="AH159" s="1">
        <f t="shared" si="77"/>
        <v>0</v>
      </c>
      <c r="AI159" s="1">
        <f t="shared" si="78"/>
        <v>1</v>
      </c>
    </row>
    <row r="160" spans="1:35" ht="14.25" customHeight="1" x14ac:dyDescent="0.25">
      <c r="A160" s="47">
        <v>0</v>
      </c>
      <c r="B160" s="47">
        <v>1</v>
      </c>
      <c r="C160" s="47">
        <v>3</v>
      </c>
      <c r="D160" s="48" t="s">
        <v>1216</v>
      </c>
      <c r="E160" s="48" t="s">
        <v>173</v>
      </c>
      <c r="F160" s="48" t="s">
        <v>1218</v>
      </c>
      <c r="G160" s="48" t="s">
        <v>186</v>
      </c>
      <c r="H160" s="48" t="s">
        <v>355</v>
      </c>
      <c r="I160" s="47" t="s">
        <v>1217</v>
      </c>
      <c r="J160" s="47">
        <v>99</v>
      </c>
      <c r="K160" s="49" t="s">
        <v>962</v>
      </c>
      <c r="L160" s="49" t="s">
        <v>693</v>
      </c>
      <c r="M160" s="50" t="s">
        <v>975</v>
      </c>
      <c r="N160" s="50" t="s">
        <v>1741</v>
      </c>
      <c r="O160" s="51"/>
      <c r="P160" s="51"/>
      <c r="Q160" s="48"/>
      <c r="S160" s="1">
        <f t="shared" si="79"/>
        <v>0</v>
      </c>
      <c r="T160" s="1">
        <f t="shared" si="80"/>
        <v>0</v>
      </c>
      <c r="U160" s="1">
        <f t="shared" si="81"/>
        <v>0</v>
      </c>
      <c r="V160" s="1">
        <f t="shared" si="82"/>
        <v>0</v>
      </c>
      <c r="W160" s="1">
        <f t="shared" si="83"/>
        <v>0</v>
      </c>
      <c r="X160" s="1">
        <f t="shared" si="84"/>
        <v>0</v>
      </c>
      <c r="Y160" s="1">
        <f t="shared" si="85"/>
        <v>0</v>
      </c>
      <c r="Z160" s="1">
        <f t="shared" si="86"/>
        <v>0</v>
      </c>
      <c r="AA160" s="1">
        <f t="shared" si="87"/>
        <v>0</v>
      </c>
      <c r="AB160" s="1">
        <f t="shared" si="88"/>
        <v>0</v>
      </c>
      <c r="AD160" s="1">
        <f t="shared" si="89"/>
        <v>0</v>
      </c>
      <c r="AE160" s="1">
        <f t="shared" si="90"/>
        <v>0</v>
      </c>
      <c r="AF160" s="1">
        <f t="shared" si="75"/>
        <v>0</v>
      </c>
      <c r="AG160" s="1">
        <f t="shared" si="76"/>
        <v>0</v>
      </c>
      <c r="AH160" s="1">
        <f t="shared" si="77"/>
        <v>0</v>
      </c>
      <c r="AI160" s="1">
        <f t="shared" si="78"/>
        <v>1</v>
      </c>
    </row>
    <row r="161" spans="1:35" ht="14.25" customHeight="1" x14ac:dyDescent="0.25">
      <c r="A161" s="34">
        <v>0</v>
      </c>
      <c r="B161" s="34">
        <v>1</v>
      </c>
      <c r="C161" s="34">
        <v>3</v>
      </c>
      <c r="D161" s="35" t="s">
        <v>634</v>
      </c>
      <c r="E161" s="35" t="s">
        <v>171</v>
      </c>
      <c r="F161" s="35" t="s">
        <v>635</v>
      </c>
      <c r="G161" s="35" t="s">
        <v>195</v>
      </c>
      <c r="H161" s="35" t="s">
        <v>355</v>
      </c>
      <c r="I161" s="34" t="s">
        <v>636</v>
      </c>
      <c r="J161" s="34">
        <v>9</v>
      </c>
      <c r="K161" s="36" t="s">
        <v>961</v>
      </c>
      <c r="L161" s="36" t="s">
        <v>1706</v>
      </c>
      <c r="M161" s="37" t="s">
        <v>974</v>
      </c>
      <c r="N161" s="37" t="s">
        <v>1734</v>
      </c>
      <c r="O161" s="38">
        <v>1</v>
      </c>
      <c r="P161" s="38">
        <v>1</v>
      </c>
      <c r="Q161" s="35"/>
      <c r="S161" s="1">
        <f t="shared" si="79"/>
        <v>0</v>
      </c>
      <c r="T161" s="1">
        <f t="shared" si="80"/>
        <v>0</v>
      </c>
      <c r="U161" s="1">
        <f t="shared" si="81"/>
        <v>0</v>
      </c>
      <c r="V161" s="1">
        <f t="shared" si="82"/>
        <v>0</v>
      </c>
      <c r="W161" s="1">
        <f t="shared" si="83"/>
        <v>0</v>
      </c>
      <c r="X161" s="1">
        <f t="shared" si="84"/>
        <v>0</v>
      </c>
      <c r="Y161" s="1">
        <f t="shared" si="85"/>
        <v>0</v>
      </c>
      <c r="Z161" s="1">
        <f t="shared" si="86"/>
        <v>0</v>
      </c>
      <c r="AA161" s="1">
        <f t="shared" si="87"/>
        <v>1</v>
      </c>
      <c r="AB161" s="1">
        <f t="shared" si="88"/>
        <v>0</v>
      </c>
      <c r="AD161" s="1">
        <f t="shared" si="89"/>
        <v>1</v>
      </c>
      <c r="AE161" s="1">
        <f t="shared" si="90"/>
        <v>0</v>
      </c>
      <c r="AF161" s="1">
        <f t="shared" si="75"/>
        <v>1</v>
      </c>
      <c r="AG161" s="1">
        <f t="shared" si="76"/>
        <v>0</v>
      </c>
      <c r="AH161" s="1">
        <f t="shared" si="77"/>
        <v>1</v>
      </c>
      <c r="AI161" s="1">
        <f t="shared" si="78"/>
        <v>0</v>
      </c>
    </row>
    <row r="162" spans="1:35" ht="14.25" customHeight="1" x14ac:dyDescent="0.25">
      <c r="A162" s="47">
        <v>0</v>
      </c>
      <c r="B162" s="47">
        <v>1</v>
      </c>
      <c r="C162" s="47">
        <v>3</v>
      </c>
      <c r="D162" s="48" t="s">
        <v>132</v>
      </c>
      <c r="E162" s="48" t="s">
        <v>686</v>
      </c>
      <c r="F162" s="48" t="s">
        <v>335</v>
      </c>
      <c r="G162" s="48" t="s">
        <v>39</v>
      </c>
      <c r="H162" s="48" t="s">
        <v>363</v>
      </c>
      <c r="I162" s="47" t="s">
        <v>482</v>
      </c>
      <c r="J162" s="47">
        <v>12</v>
      </c>
      <c r="K162" s="49" t="s">
        <v>726</v>
      </c>
      <c r="L162" s="49">
        <v>35</v>
      </c>
      <c r="M162" s="50" t="s">
        <v>39</v>
      </c>
      <c r="N162" s="50" t="s">
        <v>1809</v>
      </c>
      <c r="O162" s="51"/>
      <c r="P162" s="51"/>
      <c r="Q162" s="48"/>
      <c r="S162" s="1">
        <f t="shared" si="79"/>
        <v>0</v>
      </c>
      <c r="T162" s="1">
        <f t="shared" si="80"/>
        <v>0</v>
      </c>
      <c r="U162" s="1">
        <f t="shared" si="81"/>
        <v>0</v>
      </c>
      <c r="V162" s="1">
        <f t="shared" si="82"/>
        <v>0</v>
      </c>
      <c r="W162" s="1">
        <f t="shared" si="83"/>
        <v>0</v>
      </c>
      <c r="X162" s="1">
        <f t="shared" si="84"/>
        <v>0</v>
      </c>
      <c r="Y162" s="1">
        <f t="shared" si="85"/>
        <v>0</v>
      </c>
      <c r="Z162" s="1">
        <f t="shared" si="86"/>
        <v>0</v>
      </c>
      <c r="AA162" s="1">
        <f t="shared" si="87"/>
        <v>0</v>
      </c>
      <c r="AB162" s="1">
        <f t="shared" si="88"/>
        <v>0</v>
      </c>
      <c r="AD162" s="1">
        <f t="shared" si="89"/>
        <v>0</v>
      </c>
      <c r="AE162" s="1">
        <f t="shared" si="90"/>
        <v>0</v>
      </c>
      <c r="AF162" s="1">
        <f t="shared" si="75"/>
        <v>0</v>
      </c>
      <c r="AG162" s="1">
        <f t="shared" si="76"/>
        <v>0</v>
      </c>
      <c r="AH162" s="1">
        <f t="shared" si="77"/>
        <v>0</v>
      </c>
      <c r="AI162" s="1">
        <f t="shared" si="78"/>
        <v>1</v>
      </c>
    </row>
    <row r="163" spans="1:35" ht="14.25" customHeight="1" x14ac:dyDescent="0.25">
      <c r="A163" s="15">
        <v>0</v>
      </c>
      <c r="B163" s="15">
        <v>1</v>
      </c>
      <c r="C163" s="15">
        <v>3</v>
      </c>
      <c r="D163" s="16" t="s">
        <v>830</v>
      </c>
      <c r="E163" s="16" t="s">
        <v>173</v>
      </c>
      <c r="F163" s="16" t="s">
        <v>831</v>
      </c>
      <c r="G163" s="16" t="s">
        <v>39</v>
      </c>
      <c r="H163" s="16" t="s">
        <v>376</v>
      </c>
      <c r="I163" s="15" t="s">
        <v>829</v>
      </c>
      <c r="J163" s="15">
        <v>12</v>
      </c>
      <c r="K163" s="10" t="s">
        <v>707</v>
      </c>
      <c r="L163" s="10">
        <v>40</v>
      </c>
      <c r="M163" s="19" t="s">
        <v>974</v>
      </c>
      <c r="N163" s="19"/>
      <c r="Q163" s="16"/>
      <c r="S163" s="1">
        <f t="shared" si="79"/>
        <v>0</v>
      </c>
      <c r="T163" s="1">
        <f t="shared" si="80"/>
        <v>0</v>
      </c>
      <c r="U163" s="1">
        <f t="shared" si="81"/>
        <v>0</v>
      </c>
      <c r="V163" s="1">
        <f t="shared" si="82"/>
        <v>0</v>
      </c>
      <c r="W163" s="1">
        <f t="shared" si="83"/>
        <v>0</v>
      </c>
      <c r="X163" s="1">
        <f t="shared" si="84"/>
        <v>0</v>
      </c>
      <c r="Y163" s="1">
        <f t="shared" si="85"/>
        <v>0</v>
      </c>
      <c r="Z163" s="1">
        <f t="shared" si="86"/>
        <v>0</v>
      </c>
      <c r="AA163" s="1">
        <f t="shared" si="87"/>
        <v>0</v>
      </c>
      <c r="AB163" s="1">
        <f t="shared" si="88"/>
        <v>0</v>
      </c>
      <c r="AD163" s="1">
        <f t="shared" si="89"/>
        <v>0</v>
      </c>
      <c r="AE163" s="1">
        <f t="shared" si="90"/>
        <v>0</v>
      </c>
      <c r="AF163" s="1">
        <f t="shared" si="75"/>
        <v>0</v>
      </c>
      <c r="AG163" s="1">
        <f t="shared" si="76"/>
        <v>0</v>
      </c>
      <c r="AH163" s="1">
        <f t="shared" si="77"/>
        <v>0</v>
      </c>
      <c r="AI163" s="1">
        <f t="shared" si="78"/>
        <v>1</v>
      </c>
    </row>
    <row r="164" spans="1:35" ht="14.25" customHeight="1" x14ac:dyDescent="0.25">
      <c r="A164" s="34">
        <v>0</v>
      </c>
      <c r="B164" s="34">
        <v>1</v>
      </c>
      <c r="C164" s="34">
        <v>3</v>
      </c>
      <c r="D164" s="35" t="s">
        <v>142</v>
      </c>
      <c r="E164" s="35" t="s">
        <v>173</v>
      </c>
      <c r="F164" s="35" t="s">
        <v>344</v>
      </c>
      <c r="G164" s="35" t="s">
        <v>39</v>
      </c>
      <c r="H164" s="35" t="s">
        <v>378</v>
      </c>
      <c r="I164" s="34" t="s">
        <v>491</v>
      </c>
      <c r="J164" s="34">
        <v>15</v>
      </c>
      <c r="K164" s="36" t="s">
        <v>706</v>
      </c>
      <c r="L164" s="36" t="s">
        <v>696</v>
      </c>
      <c r="M164" s="37" t="s">
        <v>695</v>
      </c>
      <c r="N164" s="37" t="s">
        <v>1740</v>
      </c>
      <c r="O164" s="38">
        <v>1</v>
      </c>
      <c r="P164" s="38">
        <v>1</v>
      </c>
      <c r="Q164" s="39" t="s">
        <v>1898</v>
      </c>
      <c r="S164" s="1">
        <f t="shared" si="79"/>
        <v>0</v>
      </c>
      <c r="T164" s="1">
        <f t="shared" si="80"/>
        <v>0</v>
      </c>
      <c r="U164" s="1">
        <f t="shared" si="81"/>
        <v>0</v>
      </c>
      <c r="V164" s="1">
        <f t="shared" si="82"/>
        <v>0</v>
      </c>
      <c r="W164" s="1">
        <f t="shared" si="83"/>
        <v>0</v>
      </c>
      <c r="X164" s="1">
        <f t="shared" si="84"/>
        <v>0</v>
      </c>
      <c r="Y164" s="1">
        <f t="shared" si="85"/>
        <v>0</v>
      </c>
      <c r="Z164" s="1">
        <f t="shared" si="86"/>
        <v>0</v>
      </c>
      <c r="AA164" s="1">
        <f t="shared" si="87"/>
        <v>0</v>
      </c>
      <c r="AB164" s="1">
        <f t="shared" si="88"/>
        <v>0</v>
      </c>
      <c r="AD164" s="1">
        <f t="shared" si="89"/>
        <v>1</v>
      </c>
      <c r="AE164" s="1">
        <f t="shared" si="90"/>
        <v>0</v>
      </c>
      <c r="AF164" s="1">
        <f t="shared" si="75"/>
        <v>1</v>
      </c>
      <c r="AG164" s="1">
        <f t="shared" si="76"/>
        <v>0</v>
      </c>
      <c r="AH164" s="1">
        <f t="shared" si="77"/>
        <v>1</v>
      </c>
      <c r="AI164" s="1">
        <f t="shared" si="78"/>
        <v>0</v>
      </c>
    </row>
    <row r="165" spans="1:35" ht="14.25" customHeight="1" x14ac:dyDescent="0.25">
      <c r="A165" s="15">
        <v>0</v>
      </c>
      <c r="B165" s="15">
        <v>1</v>
      </c>
      <c r="C165" s="15">
        <v>3</v>
      </c>
      <c r="D165" s="16" t="s">
        <v>751</v>
      </c>
      <c r="E165" s="16" t="s">
        <v>612</v>
      </c>
      <c r="F165" s="16" t="s">
        <v>752</v>
      </c>
      <c r="G165" s="16" t="s">
        <v>39</v>
      </c>
      <c r="H165" s="16" t="s">
        <v>753</v>
      </c>
      <c r="I165" s="15" t="s">
        <v>754</v>
      </c>
      <c r="J165" s="15">
        <v>18</v>
      </c>
      <c r="K165" s="10" t="s">
        <v>707</v>
      </c>
      <c r="L165" s="10" t="s">
        <v>701</v>
      </c>
      <c r="M165" s="19" t="s">
        <v>695</v>
      </c>
      <c r="N165" s="17"/>
      <c r="Q165" s="16"/>
      <c r="S165" s="1">
        <f t="shared" si="79"/>
        <v>0</v>
      </c>
      <c r="T165" s="1">
        <f t="shared" si="80"/>
        <v>0</v>
      </c>
      <c r="U165" s="1">
        <f t="shared" si="81"/>
        <v>0</v>
      </c>
      <c r="V165" s="1">
        <f t="shared" si="82"/>
        <v>0</v>
      </c>
      <c r="W165" s="1">
        <f t="shared" si="83"/>
        <v>0</v>
      </c>
      <c r="X165" s="1">
        <f t="shared" si="84"/>
        <v>0</v>
      </c>
      <c r="Y165" s="1">
        <f t="shared" si="85"/>
        <v>0</v>
      </c>
      <c r="Z165" s="1">
        <f t="shared" si="86"/>
        <v>0</v>
      </c>
      <c r="AA165" s="1">
        <f t="shared" si="87"/>
        <v>0</v>
      </c>
      <c r="AB165" s="1">
        <f t="shared" si="88"/>
        <v>0</v>
      </c>
      <c r="AD165" s="1">
        <f t="shared" si="89"/>
        <v>0</v>
      </c>
      <c r="AE165" s="1">
        <f t="shared" si="90"/>
        <v>0</v>
      </c>
      <c r="AF165" s="1">
        <f t="shared" si="75"/>
        <v>0</v>
      </c>
      <c r="AG165" s="1">
        <f t="shared" si="76"/>
        <v>0</v>
      </c>
      <c r="AH165" s="1">
        <f t="shared" si="77"/>
        <v>0</v>
      </c>
      <c r="AI165" s="1">
        <f t="shared" si="78"/>
        <v>1</v>
      </c>
    </row>
    <row r="166" spans="1:35" ht="14.25" customHeight="1" x14ac:dyDescent="0.25">
      <c r="A166" s="34">
        <v>0</v>
      </c>
      <c r="B166" s="34">
        <v>1</v>
      </c>
      <c r="C166" s="34">
        <v>3</v>
      </c>
      <c r="D166" s="39" t="s">
        <v>1848</v>
      </c>
      <c r="E166" s="35" t="s">
        <v>1091</v>
      </c>
      <c r="F166" s="35" t="s">
        <v>1833</v>
      </c>
      <c r="G166" s="35"/>
      <c r="H166" s="35" t="s">
        <v>373</v>
      </c>
      <c r="I166" s="34" t="s">
        <v>1834</v>
      </c>
      <c r="J166" s="34">
        <v>16</v>
      </c>
      <c r="K166" s="36" t="s">
        <v>707</v>
      </c>
      <c r="L166" s="36"/>
      <c r="M166" s="37"/>
      <c r="N166" s="37" t="s">
        <v>1734</v>
      </c>
      <c r="O166" s="38">
        <v>1</v>
      </c>
      <c r="P166" s="38">
        <v>1</v>
      </c>
      <c r="Q166" s="35"/>
      <c r="S166" s="1">
        <f t="shared" si="79"/>
        <v>0</v>
      </c>
      <c r="T166" s="1">
        <f t="shared" si="80"/>
        <v>0</v>
      </c>
      <c r="U166" s="1">
        <f t="shared" si="81"/>
        <v>0</v>
      </c>
      <c r="V166" s="1">
        <f t="shared" si="82"/>
        <v>0</v>
      </c>
      <c r="W166" s="1">
        <f t="shared" si="83"/>
        <v>0</v>
      </c>
      <c r="X166" s="1">
        <f t="shared" si="84"/>
        <v>0</v>
      </c>
      <c r="Y166" s="1">
        <f t="shared" si="85"/>
        <v>0</v>
      </c>
      <c r="Z166" s="1">
        <f t="shared" si="86"/>
        <v>0</v>
      </c>
      <c r="AA166" s="1">
        <f t="shared" si="87"/>
        <v>0</v>
      </c>
      <c r="AB166" s="1">
        <f t="shared" si="88"/>
        <v>0</v>
      </c>
      <c r="AD166" s="1">
        <f t="shared" si="89"/>
        <v>1</v>
      </c>
      <c r="AE166" s="1">
        <f t="shared" si="90"/>
        <v>0</v>
      </c>
      <c r="AF166" s="1">
        <f t="shared" si="75"/>
        <v>1</v>
      </c>
      <c r="AG166" s="1">
        <f t="shared" si="76"/>
        <v>0</v>
      </c>
      <c r="AH166" s="1">
        <f t="shared" si="77"/>
        <v>1</v>
      </c>
      <c r="AI166" s="1">
        <f t="shared" si="78"/>
        <v>0</v>
      </c>
    </row>
    <row r="167" spans="1:35" ht="14.25" customHeight="1" x14ac:dyDescent="0.25">
      <c r="A167" s="34">
        <v>0</v>
      </c>
      <c r="B167" s="34">
        <v>1</v>
      </c>
      <c r="C167" s="34">
        <v>3</v>
      </c>
      <c r="D167" s="35" t="s">
        <v>983</v>
      </c>
      <c r="E167" s="35" t="s">
        <v>612</v>
      </c>
      <c r="F167" s="35" t="s">
        <v>984</v>
      </c>
      <c r="G167" s="35" t="s">
        <v>204</v>
      </c>
      <c r="H167" s="35" t="s">
        <v>355</v>
      </c>
      <c r="I167" s="34" t="s">
        <v>985</v>
      </c>
      <c r="J167" s="34">
        <v>99</v>
      </c>
      <c r="K167" s="36" t="s">
        <v>960</v>
      </c>
      <c r="L167" s="36" t="s">
        <v>39</v>
      </c>
      <c r="M167" s="37" t="s">
        <v>39</v>
      </c>
      <c r="N167" s="37" t="s">
        <v>1734</v>
      </c>
      <c r="O167" s="38">
        <v>1</v>
      </c>
      <c r="P167" s="38">
        <v>1</v>
      </c>
      <c r="Q167" s="35"/>
      <c r="S167" s="1">
        <f t="shared" si="79"/>
        <v>0</v>
      </c>
      <c r="T167" s="1">
        <f t="shared" si="80"/>
        <v>0</v>
      </c>
      <c r="U167" s="1">
        <f t="shared" si="81"/>
        <v>0</v>
      </c>
      <c r="V167" s="1">
        <f t="shared" si="82"/>
        <v>0</v>
      </c>
      <c r="W167" s="1">
        <f t="shared" si="83"/>
        <v>0</v>
      </c>
      <c r="X167" s="1">
        <f t="shared" si="84"/>
        <v>0</v>
      </c>
      <c r="Y167" s="1">
        <f t="shared" si="85"/>
        <v>0</v>
      </c>
      <c r="Z167" s="1">
        <f t="shared" si="86"/>
        <v>0</v>
      </c>
      <c r="AA167" s="1">
        <f t="shared" si="87"/>
        <v>0</v>
      </c>
      <c r="AB167" s="1">
        <f t="shared" si="88"/>
        <v>0</v>
      </c>
      <c r="AD167" s="1">
        <f t="shared" si="89"/>
        <v>1</v>
      </c>
      <c r="AE167" s="1">
        <f t="shared" si="90"/>
        <v>0</v>
      </c>
      <c r="AF167" s="1">
        <f t="shared" si="75"/>
        <v>1</v>
      </c>
      <c r="AG167" s="1">
        <f t="shared" si="76"/>
        <v>0</v>
      </c>
      <c r="AH167" s="1">
        <f t="shared" si="77"/>
        <v>1</v>
      </c>
      <c r="AI167" s="1">
        <f t="shared" si="78"/>
        <v>0</v>
      </c>
    </row>
    <row r="168" spans="1:35" ht="14.25" customHeight="1" x14ac:dyDescent="0.25">
      <c r="A168" s="41">
        <v>0</v>
      </c>
      <c r="B168" s="41">
        <v>1</v>
      </c>
      <c r="C168" s="41">
        <v>3</v>
      </c>
      <c r="D168" s="42" t="s">
        <v>150</v>
      </c>
      <c r="E168" s="42" t="s">
        <v>173</v>
      </c>
      <c r="F168" s="42" t="s">
        <v>351</v>
      </c>
      <c r="G168" s="42" t="s">
        <v>39</v>
      </c>
      <c r="H168" s="42" t="s">
        <v>381</v>
      </c>
      <c r="I168" s="41" t="s">
        <v>498</v>
      </c>
      <c r="J168" s="41">
        <v>14</v>
      </c>
      <c r="K168" s="43" t="s">
        <v>968</v>
      </c>
      <c r="L168" s="43" t="s">
        <v>39</v>
      </c>
      <c r="M168" s="44" t="s">
        <v>39</v>
      </c>
      <c r="N168" s="45"/>
      <c r="O168" s="46"/>
      <c r="P168" s="46">
        <v>1</v>
      </c>
      <c r="Q168" s="42"/>
      <c r="S168" s="1">
        <f t="shared" si="79"/>
        <v>0</v>
      </c>
      <c r="T168" s="1">
        <f t="shared" si="80"/>
        <v>0</v>
      </c>
      <c r="U168" s="1">
        <f t="shared" si="81"/>
        <v>0</v>
      </c>
      <c r="V168" s="1">
        <f t="shared" si="82"/>
        <v>0</v>
      </c>
      <c r="W168" s="1">
        <f t="shared" si="83"/>
        <v>0</v>
      </c>
      <c r="X168" s="1">
        <f t="shared" si="84"/>
        <v>0</v>
      </c>
      <c r="Y168" s="1">
        <f t="shared" si="85"/>
        <v>0</v>
      </c>
      <c r="Z168" s="1">
        <f t="shared" si="86"/>
        <v>0</v>
      </c>
      <c r="AA168" s="1">
        <f t="shared" si="87"/>
        <v>0</v>
      </c>
      <c r="AB168" s="1">
        <f t="shared" si="88"/>
        <v>0</v>
      </c>
      <c r="AD168" s="1">
        <f t="shared" si="89"/>
        <v>0</v>
      </c>
      <c r="AE168" s="1">
        <f t="shared" si="90"/>
        <v>0</v>
      </c>
      <c r="AF168" s="1">
        <f t="shared" si="75"/>
        <v>0</v>
      </c>
      <c r="AG168" s="1">
        <f t="shared" si="76"/>
        <v>0</v>
      </c>
      <c r="AH168" s="1">
        <f t="shared" si="77"/>
        <v>1</v>
      </c>
      <c r="AI168" s="1">
        <f t="shared" si="78"/>
        <v>0</v>
      </c>
    </row>
    <row r="169" spans="1:35" ht="14.25" customHeight="1" x14ac:dyDescent="0.25">
      <c r="A169" s="70">
        <v>0</v>
      </c>
      <c r="B169" s="70">
        <v>1</v>
      </c>
      <c r="C169" s="70">
        <v>3</v>
      </c>
      <c r="D169" s="57" t="s">
        <v>1996</v>
      </c>
      <c r="E169" s="57" t="s">
        <v>1997</v>
      </c>
      <c r="F169" s="57" t="s">
        <v>1998</v>
      </c>
      <c r="G169" s="57" t="s">
        <v>537</v>
      </c>
      <c r="H169" s="57" t="s">
        <v>355</v>
      </c>
      <c r="I169" s="70" t="s">
        <v>1999</v>
      </c>
      <c r="J169" s="70"/>
      <c r="K169" s="70" t="s">
        <v>707</v>
      </c>
      <c r="L169" s="70"/>
      <c r="M169" s="57"/>
      <c r="N169" s="57"/>
      <c r="O169" s="71"/>
      <c r="P169" s="71">
        <v>1</v>
      </c>
      <c r="Q169" s="57"/>
      <c r="S169" s="1">
        <f t="shared" si="79"/>
        <v>0</v>
      </c>
      <c r="T169" s="1">
        <f t="shared" si="80"/>
        <v>0</v>
      </c>
      <c r="U169" s="1">
        <f t="shared" si="81"/>
        <v>0</v>
      </c>
      <c r="V169" s="1">
        <f t="shared" si="82"/>
        <v>0</v>
      </c>
      <c r="W169" s="1">
        <f t="shared" si="83"/>
        <v>0</v>
      </c>
      <c r="X169" s="1">
        <f t="shared" si="84"/>
        <v>0</v>
      </c>
      <c r="Y169" s="1">
        <f t="shared" si="85"/>
        <v>0</v>
      </c>
      <c r="Z169" s="1">
        <f t="shared" si="86"/>
        <v>0</v>
      </c>
      <c r="AA169" s="1">
        <f t="shared" si="87"/>
        <v>0</v>
      </c>
      <c r="AB169" s="1">
        <f t="shared" si="88"/>
        <v>0</v>
      </c>
      <c r="AD169" s="1">
        <f t="shared" si="89"/>
        <v>0</v>
      </c>
      <c r="AE169" s="1">
        <f t="shared" si="90"/>
        <v>0</v>
      </c>
      <c r="AF169" s="1">
        <f t="shared" si="75"/>
        <v>0</v>
      </c>
      <c r="AG169" s="1">
        <f t="shared" si="76"/>
        <v>0</v>
      </c>
      <c r="AH169" s="1">
        <f t="shared" si="77"/>
        <v>1</v>
      </c>
      <c r="AI169" s="1">
        <f t="shared" si="78"/>
        <v>0</v>
      </c>
    </row>
    <row r="170" spans="1:35" ht="14.25" customHeight="1" x14ac:dyDescent="0.25">
      <c r="A170" s="34">
        <v>0</v>
      </c>
      <c r="B170" s="34">
        <v>1</v>
      </c>
      <c r="C170" s="34">
        <v>3</v>
      </c>
      <c r="D170" s="35" t="s">
        <v>637</v>
      </c>
      <c r="E170" s="35" t="s">
        <v>173</v>
      </c>
      <c r="F170" s="35" t="s">
        <v>639</v>
      </c>
      <c r="G170" s="35" t="s">
        <v>239</v>
      </c>
      <c r="H170" s="35" t="s">
        <v>355</v>
      </c>
      <c r="I170" s="34" t="s">
        <v>638</v>
      </c>
      <c r="J170" s="34">
        <v>4</v>
      </c>
      <c r="K170" s="36" t="s">
        <v>960</v>
      </c>
      <c r="L170" s="36" t="s">
        <v>39</v>
      </c>
      <c r="M170" s="37" t="s">
        <v>39</v>
      </c>
      <c r="N170" s="37" t="s">
        <v>1740</v>
      </c>
      <c r="O170" s="38">
        <v>1</v>
      </c>
      <c r="P170" s="38">
        <v>1</v>
      </c>
      <c r="Q170" s="35"/>
      <c r="S170" s="1">
        <f t="shared" si="79"/>
        <v>0</v>
      </c>
      <c r="T170" s="1">
        <f t="shared" si="80"/>
        <v>0</v>
      </c>
      <c r="U170" s="1">
        <f t="shared" si="81"/>
        <v>0</v>
      </c>
      <c r="V170" s="1">
        <f t="shared" si="82"/>
        <v>1</v>
      </c>
      <c r="W170" s="1">
        <f t="shared" si="83"/>
        <v>0</v>
      </c>
      <c r="X170" s="1">
        <f t="shared" si="84"/>
        <v>0</v>
      </c>
      <c r="Y170" s="1">
        <f t="shared" si="85"/>
        <v>0</v>
      </c>
      <c r="Z170" s="1">
        <f t="shared" si="86"/>
        <v>0</v>
      </c>
      <c r="AA170" s="1">
        <f t="shared" si="87"/>
        <v>0</v>
      </c>
      <c r="AB170" s="1">
        <f t="shared" si="88"/>
        <v>0</v>
      </c>
      <c r="AD170" s="1">
        <f t="shared" si="89"/>
        <v>1</v>
      </c>
      <c r="AE170" s="1">
        <f t="shared" si="90"/>
        <v>0</v>
      </c>
      <c r="AF170" s="1">
        <f t="shared" si="75"/>
        <v>1</v>
      </c>
      <c r="AG170" s="1">
        <f t="shared" si="76"/>
        <v>0</v>
      </c>
      <c r="AH170" s="1">
        <f t="shared" si="77"/>
        <v>1</v>
      </c>
      <c r="AI170" s="1">
        <f t="shared" si="78"/>
        <v>0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16" t="s">
        <v>1535</v>
      </c>
      <c r="E171" s="16" t="s">
        <v>1091</v>
      </c>
      <c r="F171" s="16" t="s">
        <v>1536</v>
      </c>
      <c r="G171" s="16" t="s">
        <v>219</v>
      </c>
      <c r="H171" s="16" t="s">
        <v>355</v>
      </c>
      <c r="I171" s="15" t="s">
        <v>1537</v>
      </c>
      <c r="J171" s="15">
        <v>99</v>
      </c>
      <c r="K171" s="10" t="s">
        <v>707</v>
      </c>
      <c r="L171" s="10">
        <v>40</v>
      </c>
      <c r="M171" s="19" t="s">
        <v>974</v>
      </c>
      <c r="N171" s="19"/>
      <c r="Q171" s="16"/>
      <c r="S171" s="1">
        <f t="shared" si="79"/>
        <v>0</v>
      </c>
      <c r="T171" s="1">
        <f t="shared" si="80"/>
        <v>0</v>
      </c>
      <c r="U171" s="1">
        <f t="shared" si="81"/>
        <v>0</v>
      </c>
      <c r="V171" s="1">
        <f t="shared" si="82"/>
        <v>0</v>
      </c>
      <c r="W171" s="1">
        <f t="shared" si="83"/>
        <v>0</v>
      </c>
      <c r="X171" s="1">
        <f t="shared" si="84"/>
        <v>0</v>
      </c>
      <c r="Y171" s="1">
        <f t="shared" si="85"/>
        <v>0</v>
      </c>
      <c r="Z171" s="1">
        <f t="shared" si="86"/>
        <v>0</v>
      </c>
      <c r="AA171" s="1">
        <f t="shared" si="87"/>
        <v>0</v>
      </c>
      <c r="AB171" s="1">
        <f t="shared" si="88"/>
        <v>0</v>
      </c>
      <c r="AD171" s="1">
        <f t="shared" si="89"/>
        <v>0</v>
      </c>
      <c r="AE171" s="1">
        <f t="shared" si="90"/>
        <v>0</v>
      </c>
      <c r="AF171" s="1">
        <f t="shared" si="75"/>
        <v>0</v>
      </c>
      <c r="AG171" s="1">
        <f t="shared" si="76"/>
        <v>0</v>
      </c>
      <c r="AH171" s="1">
        <f t="shared" si="77"/>
        <v>0</v>
      </c>
      <c r="AI171" s="1">
        <f t="shared" si="78"/>
        <v>1</v>
      </c>
    </row>
    <row r="172" spans="1:35" ht="14.25" customHeight="1" x14ac:dyDescent="0.25">
      <c r="A172" s="34">
        <v>0</v>
      </c>
      <c r="B172" s="34">
        <v>1</v>
      </c>
      <c r="C172" s="34">
        <v>3</v>
      </c>
      <c r="D172" s="35" t="s">
        <v>102</v>
      </c>
      <c r="E172" s="35" t="s">
        <v>173</v>
      </c>
      <c r="F172" s="35" t="s">
        <v>300</v>
      </c>
      <c r="G172" s="35" t="s">
        <v>301</v>
      </c>
      <c r="H172" s="35" t="s">
        <v>355</v>
      </c>
      <c r="I172" s="34" t="s">
        <v>450</v>
      </c>
      <c r="J172" s="34">
        <v>99</v>
      </c>
      <c r="K172" s="36" t="s">
        <v>962</v>
      </c>
      <c r="L172" s="36" t="s">
        <v>697</v>
      </c>
      <c r="M172" s="37" t="s">
        <v>695</v>
      </c>
      <c r="N172" s="37" t="s">
        <v>1750</v>
      </c>
      <c r="O172" s="38">
        <v>1</v>
      </c>
      <c r="P172" s="38"/>
      <c r="Q172" s="35"/>
      <c r="S172" s="1">
        <f t="shared" si="79"/>
        <v>0</v>
      </c>
      <c r="T172" s="1">
        <f t="shared" si="80"/>
        <v>0</v>
      </c>
      <c r="U172" s="1">
        <f t="shared" si="81"/>
        <v>0</v>
      </c>
      <c r="V172" s="1">
        <f t="shared" si="82"/>
        <v>0</v>
      </c>
      <c r="W172" s="1">
        <f t="shared" si="83"/>
        <v>0</v>
      </c>
      <c r="X172" s="1">
        <f t="shared" si="84"/>
        <v>0</v>
      </c>
      <c r="Y172" s="1">
        <f t="shared" si="85"/>
        <v>0</v>
      </c>
      <c r="Z172" s="1">
        <f t="shared" si="86"/>
        <v>0</v>
      </c>
      <c r="AA172" s="1">
        <f t="shared" si="87"/>
        <v>0</v>
      </c>
      <c r="AB172" s="1">
        <f t="shared" si="88"/>
        <v>0</v>
      </c>
      <c r="AD172" s="1">
        <f t="shared" si="89"/>
        <v>0</v>
      </c>
      <c r="AE172" s="1">
        <f t="shared" si="90"/>
        <v>1</v>
      </c>
      <c r="AF172" s="1">
        <f t="shared" si="75"/>
        <v>0</v>
      </c>
      <c r="AG172" s="1">
        <f t="shared" si="76"/>
        <v>1</v>
      </c>
      <c r="AH172" s="1">
        <f t="shared" si="77"/>
        <v>0</v>
      </c>
      <c r="AI172" s="1">
        <f t="shared" si="78"/>
        <v>1</v>
      </c>
    </row>
    <row r="173" spans="1:35" ht="14.25" customHeight="1" x14ac:dyDescent="0.25">
      <c r="A173" s="47">
        <v>0</v>
      </c>
      <c r="B173" s="47">
        <v>1</v>
      </c>
      <c r="C173" s="47">
        <v>3</v>
      </c>
      <c r="D173" s="48" t="s">
        <v>994</v>
      </c>
      <c r="E173" s="48" t="s">
        <v>173</v>
      </c>
      <c r="F173" s="48" t="s">
        <v>997</v>
      </c>
      <c r="G173" s="48" t="s">
        <v>39</v>
      </c>
      <c r="H173" s="48" t="s">
        <v>996</v>
      </c>
      <c r="I173" s="47" t="s">
        <v>995</v>
      </c>
      <c r="J173" s="47">
        <v>14</v>
      </c>
      <c r="K173" s="49" t="s">
        <v>726</v>
      </c>
      <c r="L173" s="49" t="s">
        <v>698</v>
      </c>
      <c r="M173" s="50" t="s">
        <v>975</v>
      </c>
      <c r="N173" s="50" t="s">
        <v>1742</v>
      </c>
      <c r="O173" s="51"/>
      <c r="P173" s="51"/>
      <c r="Q173" s="48"/>
      <c r="S173" s="1">
        <f t="shared" si="79"/>
        <v>0</v>
      </c>
      <c r="T173" s="1">
        <f t="shared" si="80"/>
        <v>0</v>
      </c>
      <c r="U173" s="1">
        <f t="shared" si="81"/>
        <v>0</v>
      </c>
      <c r="V173" s="1">
        <f t="shared" si="82"/>
        <v>0</v>
      </c>
      <c r="W173" s="1">
        <f t="shared" si="83"/>
        <v>0</v>
      </c>
      <c r="X173" s="1">
        <f t="shared" si="84"/>
        <v>0</v>
      </c>
      <c r="Y173" s="1">
        <f t="shared" si="85"/>
        <v>0</v>
      </c>
      <c r="Z173" s="1">
        <f t="shared" si="86"/>
        <v>0</v>
      </c>
      <c r="AA173" s="1">
        <f t="shared" si="87"/>
        <v>0</v>
      </c>
      <c r="AB173" s="1">
        <f t="shared" si="88"/>
        <v>0</v>
      </c>
      <c r="AD173" s="1">
        <f t="shared" si="89"/>
        <v>0</v>
      </c>
      <c r="AE173" s="1">
        <f t="shared" si="90"/>
        <v>0</v>
      </c>
      <c r="AF173" s="1">
        <f t="shared" si="75"/>
        <v>0</v>
      </c>
      <c r="AG173" s="1">
        <f t="shared" si="76"/>
        <v>0</v>
      </c>
      <c r="AH173" s="1">
        <f t="shared" si="77"/>
        <v>0</v>
      </c>
      <c r="AI173" s="1">
        <f t="shared" si="78"/>
        <v>1</v>
      </c>
    </row>
    <row r="174" spans="1:35" ht="14.25" customHeight="1" x14ac:dyDescent="0.25">
      <c r="A174" s="60">
        <v>0</v>
      </c>
      <c r="B174" s="60">
        <v>1</v>
      </c>
      <c r="C174" s="60">
        <v>3</v>
      </c>
      <c r="D174" s="61" t="s">
        <v>1651</v>
      </c>
      <c r="E174" s="61" t="s">
        <v>173</v>
      </c>
      <c r="F174" s="61" t="s">
        <v>777</v>
      </c>
      <c r="G174" s="61" t="s">
        <v>39</v>
      </c>
      <c r="H174" s="61" t="s">
        <v>368</v>
      </c>
      <c r="I174" s="60" t="s">
        <v>785</v>
      </c>
      <c r="J174" s="60">
        <v>18</v>
      </c>
      <c r="K174" s="62" t="s">
        <v>1704</v>
      </c>
      <c r="L174" s="62" t="s">
        <v>39</v>
      </c>
      <c r="M174" s="63" t="s">
        <v>778</v>
      </c>
      <c r="N174" s="64"/>
      <c r="O174" s="65"/>
      <c r="P174" s="65"/>
      <c r="Q174" s="61"/>
      <c r="S174" s="1">
        <f t="shared" si="79"/>
        <v>0</v>
      </c>
      <c r="T174" s="1">
        <f t="shared" si="80"/>
        <v>0</v>
      </c>
      <c r="U174" s="1">
        <f t="shared" si="81"/>
        <v>0</v>
      </c>
      <c r="V174" s="1">
        <f t="shared" si="82"/>
        <v>0</v>
      </c>
      <c r="W174" s="1">
        <f t="shared" si="83"/>
        <v>0</v>
      </c>
      <c r="X174" s="1">
        <f t="shared" si="84"/>
        <v>0</v>
      </c>
      <c r="Y174" s="1">
        <f t="shared" si="85"/>
        <v>0</v>
      </c>
      <c r="Z174" s="1">
        <f t="shared" si="86"/>
        <v>0</v>
      </c>
      <c r="AA174" s="1">
        <f t="shared" si="87"/>
        <v>0</v>
      </c>
      <c r="AB174" s="1">
        <f t="shared" si="88"/>
        <v>0</v>
      </c>
      <c r="AD174" s="1">
        <f t="shared" si="89"/>
        <v>0</v>
      </c>
      <c r="AE174" s="1">
        <f t="shared" si="90"/>
        <v>0</v>
      </c>
      <c r="AF174" s="1">
        <f t="shared" si="75"/>
        <v>0</v>
      </c>
      <c r="AG174" s="1">
        <f t="shared" si="76"/>
        <v>0</v>
      </c>
      <c r="AH174" s="1">
        <f t="shared" si="77"/>
        <v>0</v>
      </c>
      <c r="AI174" s="1">
        <f t="shared" si="78"/>
        <v>1</v>
      </c>
    </row>
    <row r="175" spans="1:35" ht="14.25" customHeight="1" x14ac:dyDescent="0.25">
      <c r="A175" s="52">
        <v>0</v>
      </c>
      <c r="B175" s="52">
        <v>1</v>
      </c>
      <c r="C175" s="52">
        <v>3</v>
      </c>
      <c r="D175" s="53" t="s">
        <v>135</v>
      </c>
      <c r="E175" s="53" t="s">
        <v>173</v>
      </c>
      <c r="F175" s="53" t="s">
        <v>662</v>
      </c>
      <c r="G175" s="53" t="s">
        <v>258</v>
      </c>
      <c r="H175" s="53" t="s">
        <v>355</v>
      </c>
      <c r="I175" s="52" t="s">
        <v>1700</v>
      </c>
      <c r="J175" s="52">
        <v>99</v>
      </c>
      <c r="K175" s="54" t="s">
        <v>726</v>
      </c>
      <c r="L175" s="54" t="s">
        <v>690</v>
      </c>
      <c r="M175" s="55" t="s">
        <v>1404</v>
      </c>
      <c r="N175" s="55" t="s">
        <v>1750</v>
      </c>
      <c r="O175" s="56">
        <v>1</v>
      </c>
      <c r="P175" s="56"/>
      <c r="Q175" s="53" t="s">
        <v>1937</v>
      </c>
      <c r="S175" s="1">
        <f t="shared" si="79"/>
        <v>0</v>
      </c>
      <c r="T175" s="1">
        <f t="shared" si="80"/>
        <v>0</v>
      </c>
      <c r="U175" s="1">
        <f t="shared" si="81"/>
        <v>0</v>
      </c>
      <c r="V175" s="1">
        <f t="shared" si="82"/>
        <v>0</v>
      </c>
      <c r="W175" s="1">
        <f t="shared" si="83"/>
        <v>0</v>
      </c>
      <c r="X175" s="1">
        <f t="shared" si="84"/>
        <v>0</v>
      </c>
      <c r="Y175" s="1">
        <f t="shared" si="85"/>
        <v>0</v>
      </c>
      <c r="Z175" s="1">
        <f t="shared" si="86"/>
        <v>0</v>
      </c>
      <c r="AA175" s="1">
        <f t="shared" si="87"/>
        <v>0</v>
      </c>
      <c r="AB175" s="1">
        <f t="shared" si="88"/>
        <v>0</v>
      </c>
      <c r="AD175" s="1">
        <f t="shared" si="89"/>
        <v>0</v>
      </c>
      <c r="AE175" s="1">
        <f t="shared" si="90"/>
        <v>1</v>
      </c>
      <c r="AF175" s="1">
        <f t="shared" si="75"/>
        <v>0</v>
      </c>
      <c r="AG175" s="1">
        <f t="shared" si="76"/>
        <v>1</v>
      </c>
      <c r="AH175" s="1">
        <f t="shared" si="77"/>
        <v>0</v>
      </c>
      <c r="AI175" s="1">
        <f t="shared" si="78"/>
        <v>1</v>
      </c>
    </row>
    <row r="176" spans="1:35" ht="14.25" customHeight="1" x14ac:dyDescent="0.25">
      <c r="A176" s="15">
        <v>0</v>
      </c>
      <c r="B176" s="15">
        <v>1</v>
      </c>
      <c r="C176" s="15">
        <v>3</v>
      </c>
      <c r="D176" s="16" t="s">
        <v>927</v>
      </c>
      <c r="E176" s="16" t="s">
        <v>171</v>
      </c>
      <c r="F176" s="16" t="s">
        <v>944</v>
      </c>
      <c r="G176" s="16" t="s">
        <v>39</v>
      </c>
      <c r="H176" s="16" t="s">
        <v>366</v>
      </c>
      <c r="I176" s="15" t="s">
        <v>887</v>
      </c>
      <c r="J176" s="15">
        <v>18</v>
      </c>
      <c r="K176" s="10" t="s">
        <v>706</v>
      </c>
      <c r="L176" s="10" t="s">
        <v>701</v>
      </c>
      <c r="M176" s="19" t="s">
        <v>975</v>
      </c>
      <c r="N176" s="17"/>
      <c r="Q176" s="16"/>
      <c r="S176" s="1">
        <f t="shared" si="79"/>
        <v>0</v>
      </c>
      <c r="T176" s="1">
        <f t="shared" si="80"/>
        <v>0</v>
      </c>
      <c r="U176" s="1">
        <f t="shared" si="81"/>
        <v>0</v>
      </c>
      <c r="V176" s="1">
        <f t="shared" si="82"/>
        <v>0</v>
      </c>
      <c r="W176" s="1">
        <f t="shared" si="83"/>
        <v>0</v>
      </c>
      <c r="X176" s="1">
        <f t="shared" si="84"/>
        <v>0</v>
      </c>
      <c r="Y176" s="1">
        <f t="shared" si="85"/>
        <v>0</v>
      </c>
      <c r="Z176" s="1">
        <f t="shared" si="86"/>
        <v>0</v>
      </c>
      <c r="AA176" s="1">
        <f t="shared" si="87"/>
        <v>0</v>
      </c>
      <c r="AB176" s="1">
        <f t="shared" si="88"/>
        <v>0</v>
      </c>
      <c r="AD176" s="1">
        <f t="shared" si="89"/>
        <v>0</v>
      </c>
      <c r="AE176" s="1">
        <f t="shared" si="90"/>
        <v>0</v>
      </c>
      <c r="AF176" s="1">
        <f t="shared" si="75"/>
        <v>0</v>
      </c>
      <c r="AG176" s="1">
        <f t="shared" si="76"/>
        <v>0</v>
      </c>
      <c r="AH176" s="1">
        <f t="shared" si="77"/>
        <v>0</v>
      </c>
      <c r="AI176" s="1">
        <f t="shared" si="78"/>
        <v>1</v>
      </c>
    </row>
    <row r="177" spans="1:35" ht="14.25" customHeight="1" x14ac:dyDescent="0.25">
      <c r="A177" s="34">
        <v>0</v>
      </c>
      <c r="B177" s="34">
        <v>1</v>
      </c>
      <c r="C177" s="34">
        <v>3</v>
      </c>
      <c r="D177" s="35" t="s">
        <v>1267</v>
      </c>
      <c r="E177" s="35" t="s">
        <v>171</v>
      </c>
      <c r="F177" s="35" t="s">
        <v>1683</v>
      </c>
      <c r="G177" s="35" t="s">
        <v>39</v>
      </c>
      <c r="H177" s="35" t="s">
        <v>775</v>
      </c>
      <c r="I177" s="34" t="s">
        <v>1268</v>
      </c>
      <c r="J177" s="34">
        <v>11</v>
      </c>
      <c r="K177" s="36" t="s">
        <v>726</v>
      </c>
      <c r="L177" s="36" t="s">
        <v>693</v>
      </c>
      <c r="M177" s="37" t="s">
        <v>1405</v>
      </c>
      <c r="N177" s="37" t="s">
        <v>1756</v>
      </c>
      <c r="O177" s="38">
        <v>1</v>
      </c>
      <c r="P177" s="38"/>
      <c r="Q177" s="35"/>
      <c r="S177" s="1">
        <f t="shared" si="79"/>
        <v>0</v>
      </c>
      <c r="T177" s="1">
        <f t="shared" si="80"/>
        <v>0</v>
      </c>
      <c r="U177" s="1">
        <f t="shared" si="81"/>
        <v>0</v>
      </c>
      <c r="V177" s="1">
        <f t="shared" si="82"/>
        <v>0</v>
      </c>
      <c r="W177" s="1">
        <f t="shared" si="83"/>
        <v>0</v>
      </c>
      <c r="X177" s="1">
        <f t="shared" si="84"/>
        <v>0</v>
      </c>
      <c r="Y177" s="1">
        <f t="shared" si="85"/>
        <v>0</v>
      </c>
      <c r="Z177" s="1">
        <f t="shared" si="86"/>
        <v>0</v>
      </c>
      <c r="AA177" s="1">
        <f t="shared" si="87"/>
        <v>0</v>
      </c>
      <c r="AB177" s="1">
        <f t="shared" si="88"/>
        <v>0</v>
      </c>
      <c r="AD177" s="1">
        <f t="shared" si="89"/>
        <v>0</v>
      </c>
      <c r="AE177" s="1">
        <f t="shared" si="90"/>
        <v>1</v>
      </c>
      <c r="AF177" s="1">
        <f t="shared" si="75"/>
        <v>0</v>
      </c>
      <c r="AG177" s="1">
        <f t="shared" si="76"/>
        <v>1</v>
      </c>
      <c r="AH177" s="1">
        <f t="shared" si="77"/>
        <v>0</v>
      </c>
      <c r="AI177" s="1">
        <f t="shared" si="78"/>
        <v>1</v>
      </c>
    </row>
    <row r="178" spans="1:35" ht="14.25" customHeight="1" x14ac:dyDescent="0.25">
      <c r="A178" s="34">
        <v>0</v>
      </c>
      <c r="B178" s="34">
        <v>1</v>
      </c>
      <c r="C178" s="34">
        <v>4</v>
      </c>
      <c r="D178" s="35" t="s">
        <v>1000</v>
      </c>
      <c r="E178" s="35" t="s">
        <v>776</v>
      </c>
      <c r="F178" s="35" t="s">
        <v>1098</v>
      </c>
      <c r="G178" s="35" t="s">
        <v>201</v>
      </c>
      <c r="H178" s="35" t="s">
        <v>355</v>
      </c>
      <c r="I178" s="34" t="s">
        <v>1001</v>
      </c>
      <c r="J178" s="34">
        <v>2</v>
      </c>
      <c r="K178" s="36" t="s">
        <v>960</v>
      </c>
      <c r="L178" s="36" t="s">
        <v>697</v>
      </c>
      <c r="M178" s="37" t="s">
        <v>1406</v>
      </c>
      <c r="N178" s="37" t="s">
        <v>1734</v>
      </c>
      <c r="O178" s="38">
        <v>1</v>
      </c>
      <c r="P178" s="38">
        <v>1</v>
      </c>
      <c r="Q178" s="35"/>
      <c r="S178" s="1">
        <f t="shared" si="79"/>
        <v>0</v>
      </c>
      <c r="T178" s="1">
        <f t="shared" si="80"/>
        <v>1</v>
      </c>
      <c r="U178" s="1">
        <f t="shared" si="81"/>
        <v>0</v>
      </c>
      <c r="V178" s="1">
        <f t="shared" si="82"/>
        <v>0</v>
      </c>
      <c r="W178" s="1">
        <f t="shared" si="83"/>
        <v>0</v>
      </c>
      <c r="X178" s="1">
        <f t="shared" si="84"/>
        <v>0</v>
      </c>
      <c r="Y178" s="1">
        <f t="shared" si="85"/>
        <v>0</v>
      </c>
      <c r="Z178" s="1">
        <f t="shared" si="86"/>
        <v>0</v>
      </c>
      <c r="AA178" s="1">
        <f t="shared" si="87"/>
        <v>0</v>
      </c>
      <c r="AB178" s="1">
        <f t="shared" si="88"/>
        <v>0</v>
      </c>
      <c r="AD178" s="1">
        <f t="shared" si="89"/>
        <v>1</v>
      </c>
      <c r="AE178" s="1">
        <f t="shared" si="90"/>
        <v>0</v>
      </c>
      <c r="AF178" s="1">
        <f t="shared" si="75"/>
        <v>1</v>
      </c>
      <c r="AG178" s="1">
        <f t="shared" si="76"/>
        <v>0</v>
      </c>
      <c r="AH178" s="1">
        <f t="shared" si="77"/>
        <v>1</v>
      </c>
      <c r="AI178" s="1">
        <f t="shared" si="78"/>
        <v>0</v>
      </c>
    </row>
    <row r="179" spans="1:35" ht="14.25" customHeight="1" x14ac:dyDescent="0.25">
      <c r="A179" s="47">
        <v>0</v>
      </c>
      <c r="B179" s="47">
        <v>1</v>
      </c>
      <c r="C179" s="47">
        <v>4</v>
      </c>
      <c r="D179" s="48" t="s">
        <v>50</v>
      </c>
      <c r="E179" s="48" t="s">
        <v>776</v>
      </c>
      <c r="F179" s="48" t="s">
        <v>194</v>
      </c>
      <c r="G179" s="48" t="s">
        <v>195</v>
      </c>
      <c r="H179" s="48" t="s">
        <v>355</v>
      </c>
      <c r="I179" s="47" t="s">
        <v>388</v>
      </c>
      <c r="J179" s="47">
        <v>9</v>
      </c>
      <c r="K179" s="49" t="s">
        <v>960</v>
      </c>
      <c r="L179" s="49" t="s">
        <v>698</v>
      </c>
      <c r="M179" s="50" t="s">
        <v>973</v>
      </c>
      <c r="N179" s="50" t="s">
        <v>1743</v>
      </c>
      <c r="O179" s="51"/>
      <c r="P179" s="51"/>
      <c r="Q179" s="48"/>
      <c r="S179" s="1">
        <f t="shared" si="79"/>
        <v>0</v>
      </c>
      <c r="T179" s="1">
        <f t="shared" si="80"/>
        <v>0</v>
      </c>
      <c r="U179" s="1">
        <f t="shared" si="81"/>
        <v>0</v>
      </c>
      <c r="V179" s="1">
        <f t="shared" si="82"/>
        <v>0</v>
      </c>
      <c r="W179" s="1">
        <f t="shared" si="83"/>
        <v>0</v>
      </c>
      <c r="X179" s="1">
        <f t="shared" si="84"/>
        <v>0</v>
      </c>
      <c r="Y179" s="1">
        <f t="shared" si="85"/>
        <v>0</v>
      </c>
      <c r="Z179" s="1">
        <f t="shared" si="86"/>
        <v>0</v>
      </c>
      <c r="AA179" s="1">
        <f t="shared" si="87"/>
        <v>1</v>
      </c>
      <c r="AB179" s="1">
        <f t="shared" si="88"/>
        <v>0</v>
      </c>
      <c r="AD179" s="1">
        <f t="shared" si="89"/>
        <v>0</v>
      </c>
      <c r="AE179" s="1">
        <f t="shared" si="90"/>
        <v>0</v>
      </c>
      <c r="AF179" s="1">
        <f t="shared" si="75"/>
        <v>0</v>
      </c>
      <c r="AG179" s="1">
        <f t="shared" si="76"/>
        <v>0</v>
      </c>
      <c r="AH179" s="1">
        <f t="shared" si="77"/>
        <v>0</v>
      </c>
      <c r="AI179" s="1">
        <f t="shared" si="78"/>
        <v>1</v>
      </c>
    </row>
    <row r="180" spans="1:35" ht="14.25" customHeight="1" x14ac:dyDescent="0.25">
      <c r="A180" s="47">
        <v>0</v>
      </c>
      <c r="B180" s="47">
        <v>1</v>
      </c>
      <c r="C180" s="47">
        <v>4</v>
      </c>
      <c r="D180" s="48" t="s">
        <v>134</v>
      </c>
      <c r="E180" s="48" t="s">
        <v>178</v>
      </c>
      <c r="F180" s="48" t="s">
        <v>337</v>
      </c>
      <c r="G180" s="48" t="s">
        <v>214</v>
      </c>
      <c r="H180" s="48" t="s">
        <v>355</v>
      </c>
      <c r="I180" s="47" t="s">
        <v>484</v>
      </c>
      <c r="J180" s="47">
        <v>1</v>
      </c>
      <c r="K180" s="49" t="s">
        <v>960</v>
      </c>
      <c r="L180" s="49" t="s">
        <v>693</v>
      </c>
      <c r="M180" s="50" t="s">
        <v>695</v>
      </c>
      <c r="N180" s="50" t="s">
        <v>1742</v>
      </c>
      <c r="O180" s="51"/>
      <c r="P180" s="51"/>
      <c r="Q180" s="48"/>
      <c r="S180" s="1">
        <f t="shared" si="79"/>
        <v>1</v>
      </c>
      <c r="T180" s="1">
        <f t="shared" si="80"/>
        <v>0</v>
      </c>
      <c r="U180" s="1">
        <f t="shared" si="81"/>
        <v>0</v>
      </c>
      <c r="V180" s="1">
        <f t="shared" si="82"/>
        <v>0</v>
      </c>
      <c r="W180" s="1">
        <f t="shared" si="83"/>
        <v>0</v>
      </c>
      <c r="X180" s="1">
        <f t="shared" si="84"/>
        <v>0</v>
      </c>
      <c r="Y180" s="1">
        <f t="shared" si="85"/>
        <v>0</v>
      </c>
      <c r="Z180" s="1">
        <f t="shared" si="86"/>
        <v>0</v>
      </c>
      <c r="AA180" s="1">
        <f t="shared" si="87"/>
        <v>0</v>
      </c>
      <c r="AB180" s="1">
        <f t="shared" si="88"/>
        <v>0</v>
      </c>
      <c r="AD180" s="1">
        <f t="shared" si="89"/>
        <v>0</v>
      </c>
      <c r="AE180" s="1">
        <f t="shared" si="90"/>
        <v>0</v>
      </c>
      <c r="AF180" s="1">
        <f t="shared" si="75"/>
        <v>0</v>
      </c>
      <c r="AG180" s="1">
        <f t="shared" si="76"/>
        <v>0</v>
      </c>
      <c r="AH180" s="1">
        <f t="shared" si="77"/>
        <v>0</v>
      </c>
      <c r="AI180" s="1">
        <f t="shared" si="78"/>
        <v>1</v>
      </c>
    </row>
    <row r="181" spans="1:35" ht="14.25" customHeight="1" x14ac:dyDescent="0.25">
      <c r="A181" s="15">
        <v>0</v>
      </c>
      <c r="B181" s="15">
        <v>1</v>
      </c>
      <c r="C181" s="15">
        <v>4</v>
      </c>
      <c r="D181" s="16" t="s">
        <v>888</v>
      </c>
      <c r="E181" s="16" t="s">
        <v>776</v>
      </c>
      <c r="F181" s="16" t="s">
        <v>889</v>
      </c>
      <c r="G181" s="16" t="s">
        <v>39</v>
      </c>
      <c r="H181" s="16" t="s">
        <v>890</v>
      </c>
      <c r="I181" s="15" t="s">
        <v>954</v>
      </c>
      <c r="J181" s="15">
        <v>17</v>
      </c>
      <c r="K181" s="10" t="s">
        <v>707</v>
      </c>
      <c r="L181" s="10" t="s">
        <v>1147</v>
      </c>
      <c r="M181" s="19" t="s">
        <v>976</v>
      </c>
      <c r="N181" s="17"/>
      <c r="Q181" s="16"/>
      <c r="S181" s="1">
        <f t="shared" si="79"/>
        <v>0</v>
      </c>
      <c r="T181" s="1">
        <f t="shared" si="80"/>
        <v>0</v>
      </c>
      <c r="U181" s="1">
        <f t="shared" si="81"/>
        <v>0</v>
      </c>
      <c r="V181" s="1">
        <f t="shared" si="82"/>
        <v>0</v>
      </c>
      <c r="W181" s="1">
        <f t="shared" si="83"/>
        <v>0</v>
      </c>
      <c r="X181" s="1">
        <f t="shared" si="84"/>
        <v>0</v>
      </c>
      <c r="Y181" s="1">
        <f t="shared" si="85"/>
        <v>0</v>
      </c>
      <c r="Z181" s="1">
        <f t="shared" si="86"/>
        <v>0</v>
      </c>
      <c r="AA181" s="1">
        <f t="shared" si="87"/>
        <v>0</v>
      </c>
      <c r="AB181" s="1">
        <f t="shared" si="88"/>
        <v>0</v>
      </c>
      <c r="AD181" s="1">
        <f t="shared" si="89"/>
        <v>0</v>
      </c>
      <c r="AE181" s="1">
        <f t="shared" si="90"/>
        <v>0</v>
      </c>
      <c r="AF181" s="1">
        <f t="shared" si="75"/>
        <v>0</v>
      </c>
      <c r="AG181" s="1">
        <f t="shared" si="76"/>
        <v>0</v>
      </c>
      <c r="AH181" s="1">
        <f t="shared" si="77"/>
        <v>0</v>
      </c>
      <c r="AI181" s="1">
        <f t="shared" si="78"/>
        <v>1</v>
      </c>
    </row>
    <row r="182" spans="1:35" ht="14.25" customHeight="1" x14ac:dyDescent="0.25">
      <c r="A182" s="47">
        <v>0</v>
      </c>
      <c r="B182" s="47">
        <v>1</v>
      </c>
      <c r="C182" s="47">
        <v>5</v>
      </c>
      <c r="D182" s="48" t="s">
        <v>126</v>
      </c>
      <c r="E182" s="48" t="s">
        <v>528</v>
      </c>
      <c r="F182" s="48" t="s">
        <v>328</v>
      </c>
      <c r="G182" s="48" t="s">
        <v>301</v>
      </c>
      <c r="H182" s="48" t="s">
        <v>355</v>
      </c>
      <c r="I182" s="47" t="s">
        <v>476</v>
      </c>
      <c r="J182" s="47">
        <v>99</v>
      </c>
      <c r="K182" s="49" t="s">
        <v>706</v>
      </c>
      <c r="L182" s="49" t="s">
        <v>693</v>
      </c>
      <c r="M182" s="50" t="s">
        <v>974</v>
      </c>
      <c r="N182" s="50" t="s">
        <v>1744</v>
      </c>
      <c r="O182" s="51"/>
      <c r="P182" s="51"/>
      <c r="Q182" s="48"/>
      <c r="S182" s="1">
        <f t="shared" si="79"/>
        <v>0</v>
      </c>
      <c r="T182" s="1">
        <f t="shared" si="80"/>
        <v>0</v>
      </c>
      <c r="U182" s="1">
        <f t="shared" si="81"/>
        <v>0</v>
      </c>
      <c r="V182" s="1">
        <f t="shared" si="82"/>
        <v>0</v>
      </c>
      <c r="W182" s="1">
        <f t="shared" si="83"/>
        <v>0</v>
      </c>
      <c r="X182" s="1">
        <f t="shared" si="84"/>
        <v>0</v>
      </c>
      <c r="Y182" s="1">
        <f t="shared" si="85"/>
        <v>0</v>
      </c>
      <c r="Z182" s="1">
        <f t="shared" si="86"/>
        <v>0</v>
      </c>
      <c r="AA182" s="1">
        <f t="shared" si="87"/>
        <v>0</v>
      </c>
      <c r="AB182" s="1">
        <f t="shared" si="88"/>
        <v>0</v>
      </c>
      <c r="AD182" s="1">
        <f t="shared" si="89"/>
        <v>0</v>
      </c>
      <c r="AE182" s="1">
        <f t="shared" si="90"/>
        <v>0</v>
      </c>
      <c r="AF182" s="1">
        <f t="shared" si="75"/>
        <v>0</v>
      </c>
      <c r="AG182" s="1">
        <f t="shared" si="76"/>
        <v>0</v>
      </c>
      <c r="AH182" s="1">
        <f t="shared" si="77"/>
        <v>0</v>
      </c>
      <c r="AI182" s="1">
        <f t="shared" si="78"/>
        <v>1</v>
      </c>
    </row>
    <row r="183" spans="1:35" ht="14.25" customHeight="1" x14ac:dyDescent="0.25">
      <c r="A183" s="34">
        <v>0</v>
      </c>
      <c r="B183" s="34">
        <v>1</v>
      </c>
      <c r="C183" s="34">
        <v>5</v>
      </c>
      <c r="D183" s="35" t="s">
        <v>1736</v>
      </c>
      <c r="E183" s="35" t="s">
        <v>167</v>
      </c>
      <c r="F183" s="35" t="s">
        <v>1737</v>
      </c>
      <c r="G183" s="35" t="s">
        <v>1738</v>
      </c>
      <c r="H183" s="35" t="s">
        <v>355</v>
      </c>
      <c r="I183" s="34" t="s">
        <v>1739</v>
      </c>
      <c r="J183" s="34">
        <v>2</v>
      </c>
      <c r="K183" s="36" t="s">
        <v>707</v>
      </c>
      <c r="L183" s="36"/>
      <c r="M183" s="37"/>
      <c r="N183" s="37" t="s">
        <v>1740</v>
      </c>
      <c r="O183" s="38">
        <v>1</v>
      </c>
      <c r="P183" s="38">
        <v>1</v>
      </c>
      <c r="Q183" s="35"/>
      <c r="S183" s="1">
        <f t="shared" si="79"/>
        <v>0</v>
      </c>
      <c r="T183" s="1">
        <f t="shared" si="80"/>
        <v>1</v>
      </c>
      <c r="U183" s="1">
        <f t="shared" si="81"/>
        <v>0</v>
      </c>
      <c r="V183" s="1">
        <f t="shared" si="82"/>
        <v>0</v>
      </c>
      <c r="W183" s="1">
        <f t="shared" si="83"/>
        <v>0</v>
      </c>
      <c r="X183" s="1">
        <f t="shared" si="84"/>
        <v>0</v>
      </c>
      <c r="Y183" s="1">
        <f t="shared" si="85"/>
        <v>0</v>
      </c>
      <c r="Z183" s="1">
        <f t="shared" si="86"/>
        <v>0</v>
      </c>
      <c r="AA183" s="1">
        <f t="shared" si="87"/>
        <v>0</v>
      </c>
      <c r="AB183" s="1">
        <f t="shared" si="88"/>
        <v>0</v>
      </c>
      <c r="AD183" s="1">
        <f t="shared" si="89"/>
        <v>1</v>
      </c>
      <c r="AE183" s="1">
        <f t="shared" si="90"/>
        <v>0</v>
      </c>
      <c r="AF183" s="1">
        <f t="shared" si="75"/>
        <v>1</v>
      </c>
      <c r="AG183" s="1">
        <f t="shared" si="76"/>
        <v>0</v>
      </c>
      <c r="AH183" s="1">
        <f t="shared" si="77"/>
        <v>1</v>
      </c>
      <c r="AI183" s="1">
        <f t="shared" si="78"/>
        <v>0</v>
      </c>
    </row>
    <row r="184" spans="1:35" ht="14.25" customHeight="1" x14ac:dyDescent="0.25">
      <c r="A184" s="47">
        <v>0</v>
      </c>
      <c r="B184" s="47">
        <v>1</v>
      </c>
      <c r="C184" s="47">
        <v>5</v>
      </c>
      <c r="D184" s="48" t="s">
        <v>87</v>
      </c>
      <c r="E184" s="48" t="s">
        <v>167</v>
      </c>
      <c r="F184" s="48" t="s">
        <v>579</v>
      </c>
      <c r="G184" s="48" t="s">
        <v>195</v>
      </c>
      <c r="H184" s="48" t="s">
        <v>355</v>
      </c>
      <c r="I184" s="47" t="s">
        <v>437</v>
      </c>
      <c r="J184" s="47">
        <v>9</v>
      </c>
      <c r="K184" s="49" t="s">
        <v>960</v>
      </c>
      <c r="L184" s="49" t="s">
        <v>700</v>
      </c>
      <c r="M184" s="50" t="s">
        <v>695</v>
      </c>
      <c r="N184" s="50" t="s">
        <v>1742</v>
      </c>
      <c r="O184" s="51"/>
      <c r="P184" s="51"/>
      <c r="Q184" s="48"/>
      <c r="S184" s="1">
        <f t="shared" si="79"/>
        <v>0</v>
      </c>
      <c r="T184" s="1">
        <f t="shared" si="80"/>
        <v>0</v>
      </c>
      <c r="U184" s="1">
        <f t="shared" si="81"/>
        <v>0</v>
      </c>
      <c r="V184" s="1">
        <f t="shared" si="82"/>
        <v>0</v>
      </c>
      <c r="W184" s="1">
        <f t="shared" si="83"/>
        <v>0</v>
      </c>
      <c r="X184" s="1">
        <f t="shared" si="84"/>
        <v>0</v>
      </c>
      <c r="Y184" s="1">
        <f t="shared" si="85"/>
        <v>0</v>
      </c>
      <c r="Z184" s="1">
        <f t="shared" si="86"/>
        <v>0</v>
      </c>
      <c r="AA184" s="1">
        <f t="shared" si="87"/>
        <v>1</v>
      </c>
      <c r="AB184" s="1">
        <f t="shared" si="88"/>
        <v>0</v>
      </c>
      <c r="AD184" s="1">
        <f t="shared" si="89"/>
        <v>0</v>
      </c>
      <c r="AE184" s="1">
        <f t="shared" si="90"/>
        <v>0</v>
      </c>
      <c r="AF184" s="1">
        <f t="shared" si="75"/>
        <v>0</v>
      </c>
      <c r="AG184" s="1">
        <f t="shared" si="76"/>
        <v>0</v>
      </c>
      <c r="AH184" s="1">
        <f t="shared" si="77"/>
        <v>0</v>
      </c>
      <c r="AI184" s="1">
        <f t="shared" si="78"/>
        <v>1</v>
      </c>
    </row>
    <row r="185" spans="1:35" ht="14.25" customHeight="1" x14ac:dyDescent="0.25">
      <c r="A185" s="47">
        <v>0</v>
      </c>
      <c r="B185" s="47">
        <v>1</v>
      </c>
      <c r="C185" s="47">
        <v>5</v>
      </c>
      <c r="D185" s="48" t="s">
        <v>127</v>
      </c>
      <c r="E185" s="48" t="s">
        <v>167</v>
      </c>
      <c r="F185" s="48" t="s">
        <v>329</v>
      </c>
      <c r="G185" s="48" t="s">
        <v>181</v>
      </c>
      <c r="H185" s="48" t="s">
        <v>355</v>
      </c>
      <c r="I185" s="47" t="s">
        <v>477</v>
      </c>
      <c r="J185" s="47">
        <v>10</v>
      </c>
      <c r="K185" s="49" t="s">
        <v>962</v>
      </c>
      <c r="L185" s="49" t="s">
        <v>698</v>
      </c>
      <c r="M185" s="50" t="s">
        <v>695</v>
      </c>
      <c r="N185" s="50" t="s">
        <v>1747</v>
      </c>
      <c r="O185" s="51"/>
      <c r="P185" s="51"/>
      <c r="Q185" s="48"/>
      <c r="S185" s="1">
        <f t="shared" si="79"/>
        <v>0</v>
      </c>
      <c r="T185" s="1">
        <f t="shared" si="80"/>
        <v>0</v>
      </c>
      <c r="U185" s="1">
        <f t="shared" si="81"/>
        <v>0</v>
      </c>
      <c r="V185" s="1">
        <f t="shared" si="82"/>
        <v>0</v>
      </c>
      <c r="W185" s="1">
        <f t="shared" si="83"/>
        <v>0</v>
      </c>
      <c r="X185" s="1">
        <f t="shared" si="84"/>
        <v>0</v>
      </c>
      <c r="Y185" s="1">
        <f t="shared" si="85"/>
        <v>0</v>
      </c>
      <c r="Z185" s="1">
        <f t="shared" si="86"/>
        <v>0</v>
      </c>
      <c r="AA185" s="1">
        <f t="shared" si="87"/>
        <v>0</v>
      </c>
      <c r="AB185" s="1">
        <f t="shared" si="88"/>
        <v>1</v>
      </c>
      <c r="AD185" s="1">
        <f t="shared" si="89"/>
        <v>0</v>
      </c>
      <c r="AE185" s="1">
        <f t="shared" si="90"/>
        <v>0</v>
      </c>
      <c r="AF185" s="1">
        <f t="shared" si="75"/>
        <v>0</v>
      </c>
      <c r="AG185" s="1">
        <f t="shared" si="76"/>
        <v>0</v>
      </c>
      <c r="AH185" s="1">
        <f t="shared" si="77"/>
        <v>0</v>
      </c>
      <c r="AI185" s="1">
        <f t="shared" si="78"/>
        <v>1</v>
      </c>
    </row>
    <row r="186" spans="1:35" ht="13.9" customHeight="1" x14ac:dyDescent="0.25">
      <c r="A186" s="47">
        <v>0</v>
      </c>
      <c r="B186" s="47">
        <v>1</v>
      </c>
      <c r="C186" s="47">
        <v>5</v>
      </c>
      <c r="D186" s="48" t="s">
        <v>137</v>
      </c>
      <c r="E186" s="48" t="s">
        <v>167</v>
      </c>
      <c r="F186" s="48" t="s">
        <v>550</v>
      </c>
      <c r="G186" s="48" t="s">
        <v>221</v>
      </c>
      <c r="H186" s="48" t="s">
        <v>355</v>
      </c>
      <c r="I186" s="47" t="s">
        <v>542</v>
      </c>
      <c r="J186" s="47">
        <v>8</v>
      </c>
      <c r="K186" s="49" t="s">
        <v>960</v>
      </c>
      <c r="L186" s="49" t="s">
        <v>698</v>
      </c>
      <c r="M186" s="50" t="s">
        <v>695</v>
      </c>
      <c r="N186" s="50" t="s">
        <v>1742</v>
      </c>
      <c r="O186" s="51"/>
      <c r="P186" s="51"/>
      <c r="Q186" s="48"/>
      <c r="S186" s="1">
        <f t="shared" si="79"/>
        <v>0</v>
      </c>
      <c r="T186" s="1">
        <f t="shared" si="80"/>
        <v>0</v>
      </c>
      <c r="U186" s="1">
        <f t="shared" si="81"/>
        <v>0</v>
      </c>
      <c r="V186" s="1">
        <f t="shared" si="82"/>
        <v>0</v>
      </c>
      <c r="W186" s="1">
        <f t="shared" si="83"/>
        <v>0</v>
      </c>
      <c r="X186" s="1">
        <f t="shared" si="84"/>
        <v>0</v>
      </c>
      <c r="Y186" s="1">
        <f t="shared" si="85"/>
        <v>0</v>
      </c>
      <c r="Z186" s="1">
        <f t="shared" si="86"/>
        <v>1</v>
      </c>
      <c r="AA186" s="1">
        <f t="shared" si="87"/>
        <v>0</v>
      </c>
      <c r="AB186" s="1">
        <f t="shared" si="88"/>
        <v>0</v>
      </c>
      <c r="AD186" s="1">
        <f t="shared" si="89"/>
        <v>0</v>
      </c>
      <c r="AE186" s="1">
        <f t="shared" si="90"/>
        <v>0</v>
      </c>
      <c r="AF186" s="1">
        <f t="shared" si="75"/>
        <v>0</v>
      </c>
      <c r="AG186" s="1">
        <f t="shared" si="76"/>
        <v>0</v>
      </c>
      <c r="AH186" s="1">
        <f t="shared" si="77"/>
        <v>0</v>
      </c>
      <c r="AI186" s="1">
        <f t="shared" si="78"/>
        <v>1</v>
      </c>
    </row>
    <row r="187" spans="1:35" ht="14.25" customHeight="1" x14ac:dyDescent="0.25">
      <c r="A187" s="47">
        <v>1</v>
      </c>
      <c r="B187" s="47">
        <v>1</v>
      </c>
      <c r="C187" s="47">
        <v>5</v>
      </c>
      <c r="D187" s="48" t="s">
        <v>137</v>
      </c>
      <c r="E187" s="48" t="s">
        <v>167</v>
      </c>
      <c r="F187" s="48" t="s">
        <v>338</v>
      </c>
      <c r="G187" s="48" t="s">
        <v>339</v>
      </c>
      <c r="H187" s="48" t="s">
        <v>355</v>
      </c>
      <c r="I187" s="47" t="s">
        <v>486</v>
      </c>
      <c r="J187" s="47">
        <v>10</v>
      </c>
      <c r="K187" s="49" t="s">
        <v>960</v>
      </c>
      <c r="L187" s="49" t="s">
        <v>698</v>
      </c>
      <c r="M187" s="50" t="s">
        <v>695</v>
      </c>
      <c r="N187" s="50" t="s">
        <v>1742</v>
      </c>
      <c r="O187" s="51"/>
      <c r="P187" s="51"/>
      <c r="Q187" s="48"/>
      <c r="S187" s="1">
        <f t="shared" si="79"/>
        <v>0</v>
      </c>
      <c r="T187" s="1">
        <f t="shared" si="80"/>
        <v>0</v>
      </c>
      <c r="U187" s="1">
        <f t="shared" si="81"/>
        <v>0</v>
      </c>
      <c r="V187" s="1">
        <f t="shared" si="82"/>
        <v>0</v>
      </c>
      <c r="W187" s="1">
        <f t="shared" si="83"/>
        <v>0</v>
      </c>
      <c r="X187" s="1">
        <f t="shared" si="84"/>
        <v>0</v>
      </c>
      <c r="Y187" s="1">
        <f t="shared" si="85"/>
        <v>0</v>
      </c>
      <c r="Z187" s="1">
        <f t="shared" si="86"/>
        <v>0</v>
      </c>
      <c r="AA187" s="1">
        <f t="shared" si="87"/>
        <v>0</v>
      </c>
      <c r="AB187" s="1">
        <f t="shared" si="88"/>
        <v>1</v>
      </c>
      <c r="AD187" s="1">
        <f t="shared" si="89"/>
        <v>0</v>
      </c>
      <c r="AE187" s="1">
        <f t="shared" si="90"/>
        <v>0</v>
      </c>
      <c r="AF187" s="1">
        <f t="shared" si="75"/>
        <v>0</v>
      </c>
      <c r="AG187" s="1">
        <f t="shared" si="76"/>
        <v>0</v>
      </c>
      <c r="AH187" s="1">
        <f t="shared" si="77"/>
        <v>0</v>
      </c>
      <c r="AI187" s="1">
        <f t="shared" si="78"/>
        <v>0</v>
      </c>
    </row>
    <row r="188" spans="1:35" ht="14.25" customHeight="1" x14ac:dyDescent="0.25">
      <c r="A188" s="47">
        <v>0</v>
      </c>
      <c r="B188" s="47">
        <v>1</v>
      </c>
      <c r="C188" s="47">
        <v>5</v>
      </c>
      <c r="D188" s="48" t="s">
        <v>1644</v>
      </c>
      <c r="E188" s="48" t="s">
        <v>167</v>
      </c>
      <c r="F188" s="48" t="s">
        <v>869</v>
      </c>
      <c r="G188" s="48" t="s">
        <v>1671</v>
      </c>
      <c r="H188" s="48" t="s">
        <v>355</v>
      </c>
      <c r="I188" s="47" t="s">
        <v>870</v>
      </c>
      <c r="J188" s="47">
        <v>1</v>
      </c>
      <c r="K188" s="49" t="s">
        <v>726</v>
      </c>
      <c r="L188" s="49" t="s">
        <v>1714</v>
      </c>
      <c r="M188" s="50" t="s">
        <v>1407</v>
      </c>
      <c r="N188" s="50" t="s">
        <v>1742</v>
      </c>
      <c r="O188" s="51"/>
      <c r="P188" s="51"/>
      <c r="Q188" s="48"/>
      <c r="S188" s="1">
        <f t="shared" si="79"/>
        <v>1</v>
      </c>
      <c r="T188" s="1">
        <f t="shared" si="80"/>
        <v>0</v>
      </c>
      <c r="U188" s="1">
        <f t="shared" si="81"/>
        <v>0</v>
      </c>
      <c r="V188" s="1">
        <f t="shared" si="82"/>
        <v>0</v>
      </c>
      <c r="W188" s="1">
        <f t="shared" si="83"/>
        <v>0</v>
      </c>
      <c r="X188" s="1">
        <f t="shared" si="84"/>
        <v>0</v>
      </c>
      <c r="Y188" s="1">
        <f t="shared" si="85"/>
        <v>0</v>
      </c>
      <c r="Z188" s="1">
        <f t="shared" si="86"/>
        <v>0</v>
      </c>
      <c r="AA188" s="1">
        <f t="shared" si="87"/>
        <v>0</v>
      </c>
      <c r="AB188" s="1">
        <f t="shared" si="88"/>
        <v>0</v>
      </c>
      <c r="AD188" s="1">
        <f t="shared" ref="AD188:AD189" si="91">+O188*P188</f>
        <v>0</v>
      </c>
      <c r="AE188" s="1">
        <f t="shared" ref="AE188:AE189" si="92">O188*(1-P188)</f>
        <v>0</v>
      </c>
      <c r="AF188" s="1">
        <f t="shared" ref="AF188:AF189" si="93">+O188*P188*(1-A188)</f>
        <v>0</v>
      </c>
      <c r="AG188" s="1">
        <f t="shared" si="76"/>
        <v>0</v>
      </c>
      <c r="AH188" s="1">
        <f t="shared" si="77"/>
        <v>0</v>
      </c>
      <c r="AI188" s="1">
        <f t="shared" si="78"/>
        <v>1</v>
      </c>
    </row>
    <row r="189" spans="1:35" ht="14.25" customHeight="1" x14ac:dyDescent="0.25">
      <c r="A189" s="15">
        <v>0</v>
      </c>
      <c r="B189" s="15">
        <v>1</v>
      </c>
      <c r="C189" s="15">
        <v>5</v>
      </c>
      <c r="D189" s="20" t="s">
        <v>1956</v>
      </c>
      <c r="E189" s="20" t="s">
        <v>897</v>
      </c>
      <c r="F189" s="20" t="s">
        <v>1974</v>
      </c>
      <c r="G189" s="20"/>
      <c r="H189" s="20" t="s">
        <v>1975</v>
      </c>
      <c r="I189" s="21" t="s">
        <v>1973</v>
      </c>
      <c r="J189" s="15">
        <v>15</v>
      </c>
      <c r="K189" s="10" t="s">
        <v>707</v>
      </c>
      <c r="L189" s="10" t="s">
        <v>701</v>
      </c>
      <c r="M189" s="19" t="s">
        <v>975</v>
      </c>
      <c r="N189" s="17"/>
      <c r="Q189" s="20" t="s">
        <v>1976</v>
      </c>
      <c r="S189" s="1">
        <f t="shared" si="79"/>
        <v>0</v>
      </c>
      <c r="T189" s="1">
        <f t="shared" si="80"/>
        <v>0</v>
      </c>
      <c r="U189" s="1">
        <f t="shared" si="81"/>
        <v>0</v>
      </c>
      <c r="V189" s="1">
        <f t="shared" si="82"/>
        <v>0</v>
      </c>
      <c r="W189" s="1">
        <f t="shared" si="83"/>
        <v>0</v>
      </c>
      <c r="X189" s="1">
        <f t="shared" si="84"/>
        <v>0</v>
      </c>
      <c r="Y189" s="1">
        <f t="shared" si="85"/>
        <v>0</v>
      </c>
      <c r="Z189" s="1">
        <f t="shared" si="86"/>
        <v>0</v>
      </c>
      <c r="AA189" s="1">
        <f t="shared" si="87"/>
        <v>0</v>
      </c>
      <c r="AB189" s="1">
        <f t="shared" si="88"/>
        <v>0</v>
      </c>
      <c r="AD189" s="1">
        <f t="shared" si="91"/>
        <v>0</v>
      </c>
      <c r="AE189" s="1">
        <f t="shared" si="92"/>
        <v>0</v>
      </c>
      <c r="AF189" s="1">
        <f t="shared" si="93"/>
        <v>0</v>
      </c>
      <c r="AG189" s="1">
        <f t="shared" si="76"/>
        <v>0</v>
      </c>
      <c r="AH189" s="1">
        <f t="shared" si="77"/>
        <v>0</v>
      </c>
      <c r="AI189" s="1">
        <f t="shared" si="78"/>
        <v>1</v>
      </c>
    </row>
    <row r="190" spans="1:35" ht="14.25" customHeight="1" x14ac:dyDescent="0.25">
      <c r="A190" s="34">
        <v>0</v>
      </c>
      <c r="B190" s="34">
        <v>1</v>
      </c>
      <c r="C190" s="34">
        <v>5</v>
      </c>
      <c r="D190" s="35" t="s">
        <v>891</v>
      </c>
      <c r="E190" s="35" t="s">
        <v>892</v>
      </c>
      <c r="F190" s="35" t="s">
        <v>1096</v>
      </c>
      <c r="G190" s="35" t="s">
        <v>39</v>
      </c>
      <c r="H190" s="35" t="s">
        <v>893</v>
      </c>
      <c r="I190" s="34" t="s">
        <v>894</v>
      </c>
      <c r="J190" s="34">
        <v>16</v>
      </c>
      <c r="K190" s="36" t="s">
        <v>707</v>
      </c>
      <c r="L190" s="36" t="s">
        <v>696</v>
      </c>
      <c r="M190" s="37" t="s">
        <v>974</v>
      </c>
      <c r="N190" s="37" t="s">
        <v>1740</v>
      </c>
      <c r="O190" s="38">
        <v>1</v>
      </c>
      <c r="P190" s="38">
        <v>1</v>
      </c>
      <c r="Q190" s="39" t="s">
        <v>1901</v>
      </c>
      <c r="S190" s="1">
        <f t="shared" si="79"/>
        <v>0</v>
      </c>
      <c r="T190" s="1">
        <f t="shared" si="80"/>
        <v>0</v>
      </c>
      <c r="U190" s="1">
        <f t="shared" si="81"/>
        <v>0</v>
      </c>
      <c r="V190" s="1">
        <f t="shared" si="82"/>
        <v>0</v>
      </c>
      <c r="W190" s="1">
        <f t="shared" si="83"/>
        <v>0</v>
      </c>
      <c r="X190" s="1">
        <f t="shared" si="84"/>
        <v>0</v>
      </c>
      <c r="Y190" s="1">
        <f t="shared" si="85"/>
        <v>0</v>
      </c>
      <c r="Z190" s="1">
        <f t="shared" si="86"/>
        <v>0</v>
      </c>
      <c r="AA190" s="1">
        <f t="shared" si="87"/>
        <v>0</v>
      </c>
      <c r="AB190" s="1">
        <f t="shared" si="88"/>
        <v>0</v>
      </c>
      <c r="AD190" s="1">
        <f t="shared" si="89"/>
        <v>1</v>
      </c>
      <c r="AE190" s="1">
        <f t="shared" si="90"/>
        <v>0</v>
      </c>
      <c r="AF190" s="1">
        <f t="shared" si="75"/>
        <v>1</v>
      </c>
      <c r="AG190" s="1">
        <f t="shared" si="76"/>
        <v>0</v>
      </c>
      <c r="AH190" s="1">
        <f t="shared" si="77"/>
        <v>1</v>
      </c>
      <c r="AI190" s="1">
        <f t="shared" si="78"/>
        <v>0</v>
      </c>
    </row>
    <row r="191" spans="1:35" ht="14.25" customHeight="1" x14ac:dyDescent="0.25">
      <c r="A191" s="34">
        <v>0</v>
      </c>
      <c r="B191" s="34">
        <v>1</v>
      </c>
      <c r="C191" s="34">
        <v>5</v>
      </c>
      <c r="D191" s="35" t="s">
        <v>106</v>
      </c>
      <c r="E191" s="35" t="s">
        <v>174</v>
      </c>
      <c r="F191" s="35" t="s">
        <v>305</v>
      </c>
      <c r="G191" s="35" t="s">
        <v>39</v>
      </c>
      <c r="H191" s="35" t="s">
        <v>360</v>
      </c>
      <c r="I191" s="34" t="s">
        <v>454</v>
      </c>
      <c r="J191" s="34">
        <v>14</v>
      </c>
      <c r="K191" s="36" t="s">
        <v>960</v>
      </c>
      <c r="L191" s="36" t="s">
        <v>697</v>
      </c>
      <c r="M191" s="37" t="s">
        <v>974</v>
      </c>
      <c r="N191" s="37" t="s">
        <v>1750</v>
      </c>
      <c r="O191" s="38">
        <v>1</v>
      </c>
      <c r="P191" s="38"/>
      <c r="Q191" s="35"/>
      <c r="S191" s="1">
        <f t="shared" si="79"/>
        <v>0</v>
      </c>
      <c r="T191" s="1">
        <f t="shared" si="80"/>
        <v>0</v>
      </c>
      <c r="U191" s="1">
        <f t="shared" si="81"/>
        <v>0</v>
      </c>
      <c r="V191" s="1">
        <f t="shared" si="82"/>
        <v>0</v>
      </c>
      <c r="W191" s="1">
        <f t="shared" si="83"/>
        <v>0</v>
      </c>
      <c r="X191" s="1">
        <f t="shared" si="84"/>
        <v>0</v>
      </c>
      <c r="Y191" s="1">
        <f t="shared" si="85"/>
        <v>0</v>
      </c>
      <c r="Z191" s="1">
        <f t="shared" si="86"/>
        <v>0</v>
      </c>
      <c r="AA191" s="1">
        <f t="shared" si="87"/>
        <v>0</v>
      </c>
      <c r="AB191" s="1">
        <f t="shared" si="88"/>
        <v>0</v>
      </c>
      <c r="AD191" s="1">
        <f t="shared" si="89"/>
        <v>0</v>
      </c>
      <c r="AE191" s="1">
        <f t="shared" si="90"/>
        <v>1</v>
      </c>
      <c r="AF191" s="1">
        <f t="shared" si="75"/>
        <v>0</v>
      </c>
      <c r="AG191" s="1">
        <f t="shared" si="76"/>
        <v>1</v>
      </c>
      <c r="AH191" s="1">
        <f t="shared" si="77"/>
        <v>0</v>
      </c>
      <c r="AI191" s="1">
        <f t="shared" si="78"/>
        <v>1</v>
      </c>
    </row>
    <row r="192" spans="1:35" ht="14.25" customHeight="1" x14ac:dyDescent="0.25">
      <c r="A192" s="15">
        <v>0</v>
      </c>
      <c r="B192" s="15">
        <v>1</v>
      </c>
      <c r="C192" s="15">
        <v>5</v>
      </c>
      <c r="D192" s="20" t="s">
        <v>1958</v>
      </c>
      <c r="E192" s="20" t="s">
        <v>897</v>
      </c>
      <c r="F192" s="20" t="s">
        <v>1988</v>
      </c>
      <c r="G192" s="20"/>
      <c r="H192" s="20" t="s">
        <v>1987</v>
      </c>
      <c r="I192" s="21" t="s">
        <v>1986</v>
      </c>
      <c r="J192" s="15">
        <v>18</v>
      </c>
      <c r="K192" s="10" t="s">
        <v>707</v>
      </c>
      <c r="L192" s="10" t="s">
        <v>701</v>
      </c>
      <c r="M192" s="19" t="s">
        <v>975</v>
      </c>
      <c r="N192" s="17"/>
      <c r="Q192" s="20" t="s">
        <v>1989</v>
      </c>
      <c r="S192" s="1">
        <f t="shared" si="79"/>
        <v>0</v>
      </c>
      <c r="T192" s="1">
        <f t="shared" si="80"/>
        <v>0</v>
      </c>
      <c r="U192" s="1">
        <f t="shared" si="81"/>
        <v>0</v>
      </c>
      <c r="V192" s="1">
        <f t="shared" si="82"/>
        <v>0</v>
      </c>
      <c r="W192" s="1">
        <f t="shared" si="83"/>
        <v>0</v>
      </c>
      <c r="X192" s="1">
        <f t="shared" si="84"/>
        <v>0</v>
      </c>
      <c r="Y192" s="1">
        <f t="shared" si="85"/>
        <v>0</v>
      </c>
      <c r="Z192" s="1">
        <f t="shared" si="86"/>
        <v>0</v>
      </c>
      <c r="AA192" s="1">
        <f t="shared" si="87"/>
        <v>0</v>
      </c>
      <c r="AB192" s="1">
        <f t="shared" si="88"/>
        <v>0</v>
      </c>
      <c r="AD192" s="1">
        <f t="shared" si="89"/>
        <v>0</v>
      </c>
      <c r="AE192" s="1">
        <f t="shared" si="90"/>
        <v>0</v>
      </c>
      <c r="AF192" s="1">
        <f t="shared" si="75"/>
        <v>0</v>
      </c>
      <c r="AG192" s="1">
        <f t="shared" si="76"/>
        <v>0</v>
      </c>
      <c r="AH192" s="1">
        <f t="shared" si="77"/>
        <v>0</v>
      </c>
      <c r="AI192" s="1">
        <f t="shared" si="78"/>
        <v>1</v>
      </c>
    </row>
    <row r="193" spans="1:35" ht="14.25" customHeight="1" x14ac:dyDescent="0.25">
      <c r="A193" s="47">
        <v>0</v>
      </c>
      <c r="B193" s="47">
        <v>1</v>
      </c>
      <c r="C193" s="47">
        <v>5</v>
      </c>
      <c r="D193" s="48" t="s">
        <v>515</v>
      </c>
      <c r="E193" s="48" t="s">
        <v>173</v>
      </c>
      <c r="F193" s="48" t="s">
        <v>551</v>
      </c>
      <c r="G193" s="48" t="s">
        <v>39</v>
      </c>
      <c r="H193" s="48" t="s">
        <v>363</v>
      </c>
      <c r="I193" s="47" t="s">
        <v>1118</v>
      </c>
      <c r="J193" s="47">
        <v>12</v>
      </c>
      <c r="K193" s="49" t="s">
        <v>707</v>
      </c>
      <c r="L193" s="49">
        <v>35</v>
      </c>
      <c r="M193" s="50" t="s">
        <v>974</v>
      </c>
      <c r="N193" s="50" t="s">
        <v>1809</v>
      </c>
      <c r="O193" s="51"/>
      <c r="P193" s="51"/>
      <c r="Q193" s="48"/>
      <c r="S193" s="1">
        <f t="shared" si="79"/>
        <v>0</v>
      </c>
      <c r="T193" s="1">
        <f t="shared" si="80"/>
        <v>0</v>
      </c>
      <c r="U193" s="1">
        <f t="shared" si="81"/>
        <v>0</v>
      </c>
      <c r="V193" s="1">
        <f t="shared" si="82"/>
        <v>0</v>
      </c>
      <c r="W193" s="1">
        <f t="shared" si="83"/>
        <v>0</v>
      </c>
      <c r="X193" s="1">
        <f t="shared" si="84"/>
        <v>0</v>
      </c>
      <c r="Y193" s="1">
        <f t="shared" si="85"/>
        <v>0</v>
      </c>
      <c r="Z193" s="1">
        <f t="shared" si="86"/>
        <v>0</v>
      </c>
      <c r="AA193" s="1">
        <f t="shared" si="87"/>
        <v>0</v>
      </c>
      <c r="AB193" s="1">
        <f t="shared" si="88"/>
        <v>0</v>
      </c>
      <c r="AD193" s="1">
        <f t="shared" si="89"/>
        <v>0</v>
      </c>
      <c r="AE193" s="1">
        <f t="shared" si="90"/>
        <v>0</v>
      </c>
      <c r="AF193" s="1">
        <f t="shared" si="75"/>
        <v>0</v>
      </c>
      <c r="AG193" s="1">
        <f t="shared" si="76"/>
        <v>0</v>
      </c>
      <c r="AH193" s="1">
        <f t="shared" si="77"/>
        <v>0</v>
      </c>
      <c r="AI193" s="1">
        <f t="shared" si="78"/>
        <v>1</v>
      </c>
    </row>
    <row r="194" spans="1:35" ht="14.25" customHeight="1" x14ac:dyDescent="0.25">
      <c r="A194" s="34">
        <v>0</v>
      </c>
      <c r="B194" s="34">
        <v>1</v>
      </c>
      <c r="C194" s="34">
        <v>5</v>
      </c>
      <c r="D194" s="35" t="s">
        <v>152</v>
      </c>
      <c r="E194" s="35" t="s">
        <v>167</v>
      </c>
      <c r="F194" s="39" t="s">
        <v>1877</v>
      </c>
      <c r="G194" s="35" t="s">
        <v>198</v>
      </c>
      <c r="H194" s="35" t="s">
        <v>355</v>
      </c>
      <c r="I194" s="34" t="s">
        <v>500</v>
      </c>
      <c r="J194" s="34">
        <v>99</v>
      </c>
      <c r="K194" s="36" t="s">
        <v>960</v>
      </c>
      <c r="L194" s="36" t="s">
        <v>697</v>
      </c>
      <c r="M194" s="37" t="s">
        <v>974</v>
      </c>
      <c r="N194" s="37" t="s">
        <v>1755</v>
      </c>
      <c r="O194" s="38">
        <v>1</v>
      </c>
      <c r="P194" s="38"/>
      <c r="Q194" s="35"/>
      <c r="S194" s="1">
        <f t="shared" si="79"/>
        <v>0</v>
      </c>
      <c r="T194" s="1">
        <f t="shared" si="80"/>
        <v>0</v>
      </c>
      <c r="U194" s="1">
        <f t="shared" si="81"/>
        <v>0</v>
      </c>
      <c r="V194" s="1">
        <f t="shared" si="82"/>
        <v>0</v>
      </c>
      <c r="W194" s="1">
        <f t="shared" si="83"/>
        <v>0</v>
      </c>
      <c r="X194" s="1">
        <f t="shared" si="84"/>
        <v>0</v>
      </c>
      <c r="Y194" s="1">
        <f t="shared" si="85"/>
        <v>0</v>
      </c>
      <c r="Z194" s="1">
        <f t="shared" si="86"/>
        <v>0</v>
      </c>
      <c r="AA194" s="1">
        <f t="shared" si="87"/>
        <v>0</v>
      </c>
      <c r="AB194" s="1">
        <f t="shared" si="88"/>
        <v>0</v>
      </c>
      <c r="AD194" s="1">
        <f t="shared" si="89"/>
        <v>0</v>
      </c>
      <c r="AE194" s="1">
        <f t="shared" si="90"/>
        <v>1</v>
      </c>
      <c r="AF194" s="1">
        <f t="shared" si="75"/>
        <v>0</v>
      </c>
      <c r="AG194" s="1">
        <f t="shared" si="76"/>
        <v>1</v>
      </c>
      <c r="AH194" s="1">
        <f t="shared" si="77"/>
        <v>0</v>
      </c>
      <c r="AI194" s="1">
        <f t="shared" si="78"/>
        <v>1</v>
      </c>
    </row>
    <row r="195" spans="1:35" ht="14.25" customHeight="1" x14ac:dyDescent="0.25">
      <c r="A195" s="47">
        <v>0</v>
      </c>
      <c r="B195" s="47">
        <v>1</v>
      </c>
      <c r="C195" s="47">
        <v>5</v>
      </c>
      <c r="D195" s="48" t="s">
        <v>651</v>
      </c>
      <c r="E195" s="48" t="s">
        <v>687</v>
      </c>
      <c r="F195" s="48" t="s">
        <v>647</v>
      </c>
      <c r="G195" s="48" t="s">
        <v>186</v>
      </c>
      <c r="H195" s="48" t="s">
        <v>355</v>
      </c>
      <c r="I195" s="47" t="s">
        <v>648</v>
      </c>
      <c r="J195" s="47">
        <v>99</v>
      </c>
      <c r="K195" s="49" t="s">
        <v>726</v>
      </c>
      <c r="L195" s="49" t="s">
        <v>697</v>
      </c>
      <c r="M195" s="50" t="s">
        <v>974</v>
      </c>
      <c r="N195" s="50" t="s">
        <v>1741</v>
      </c>
      <c r="O195" s="51"/>
      <c r="P195" s="51"/>
      <c r="Q195" s="48"/>
      <c r="S195" s="1">
        <f t="shared" si="79"/>
        <v>0</v>
      </c>
      <c r="T195" s="1">
        <f t="shared" si="80"/>
        <v>0</v>
      </c>
      <c r="U195" s="1">
        <f t="shared" si="81"/>
        <v>0</v>
      </c>
      <c r="V195" s="1">
        <f t="shared" si="82"/>
        <v>0</v>
      </c>
      <c r="W195" s="1">
        <f t="shared" si="83"/>
        <v>0</v>
      </c>
      <c r="X195" s="1">
        <f t="shared" si="84"/>
        <v>0</v>
      </c>
      <c r="Y195" s="1">
        <f t="shared" si="85"/>
        <v>0</v>
      </c>
      <c r="Z195" s="1">
        <f t="shared" si="86"/>
        <v>0</v>
      </c>
      <c r="AA195" s="1">
        <f t="shared" si="87"/>
        <v>0</v>
      </c>
      <c r="AB195" s="1">
        <f t="shared" si="88"/>
        <v>0</v>
      </c>
      <c r="AD195" s="1">
        <f t="shared" si="89"/>
        <v>0</v>
      </c>
      <c r="AE195" s="1">
        <f t="shared" si="90"/>
        <v>0</v>
      </c>
      <c r="AF195" s="1">
        <f t="shared" si="75"/>
        <v>0</v>
      </c>
      <c r="AG195" s="1">
        <f t="shared" si="76"/>
        <v>0</v>
      </c>
      <c r="AH195" s="1">
        <f t="shared" si="77"/>
        <v>0</v>
      </c>
      <c r="AI195" s="1">
        <f t="shared" si="78"/>
        <v>1</v>
      </c>
    </row>
    <row r="196" spans="1:35" ht="14.25" customHeight="1" x14ac:dyDescent="0.25">
      <c r="A196" s="34">
        <v>0</v>
      </c>
      <c r="B196" s="34">
        <v>1</v>
      </c>
      <c r="C196" s="34">
        <v>5</v>
      </c>
      <c r="D196" s="35" t="s">
        <v>1317</v>
      </c>
      <c r="E196" s="35" t="s">
        <v>167</v>
      </c>
      <c r="F196" s="35" t="s">
        <v>1318</v>
      </c>
      <c r="G196" s="35" t="s">
        <v>284</v>
      </c>
      <c r="H196" s="35" t="s">
        <v>355</v>
      </c>
      <c r="I196" s="34" t="s">
        <v>1319</v>
      </c>
      <c r="J196" s="34">
        <v>99</v>
      </c>
      <c r="K196" s="36" t="s">
        <v>706</v>
      </c>
      <c r="L196" s="36" t="s">
        <v>39</v>
      </c>
      <c r="M196" s="37" t="s">
        <v>39</v>
      </c>
      <c r="N196" s="37" t="s">
        <v>1740</v>
      </c>
      <c r="O196" s="38">
        <v>1</v>
      </c>
      <c r="P196" s="38">
        <v>1</v>
      </c>
      <c r="Q196" s="35"/>
      <c r="S196" s="1">
        <f t="shared" si="79"/>
        <v>0</v>
      </c>
      <c r="T196" s="1">
        <f t="shared" si="80"/>
        <v>0</v>
      </c>
      <c r="U196" s="1">
        <f t="shared" si="81"/>
        <v>0</v>
      </c>
      <c r="V196" s="1">
        <f t="shared" si="82"/>
        <v>0</v>
      </c>
      <c r="W196" s="1">
        <f t="shared" si="83"/>
        <v>0</v>
      </c>
      <c r="X196" s="1">
        <f t="shared" si="84"/>
        <v>0</v>
      </c>
      <c r="Y196" s="1">
        <f t="shared" si="85"/>
        <v>0</v>
      </c>
      <c r="Z196" s="1">
        <f t="shared" si="86"/>
        <v>0</v>
      </c>
      <c r="AA196" s="1">
        <f t="shared" si="87"/>
        <v>0</v>
      </c>
      <c r="AB196" s="1">
        <f t="shared" si="88"/>
        <v>0</v>
      </c>
      <c r="AD196" s="1">
        <f t="shared" si="89"/>
        <v>1</v>
      </c>
      <c r="AE196" s="1">
        <f t="shared" si="90"/>
        <v>0</v>
      </c>
      <c r="AF196" s="1">
        <f t="shared" si="75"/>
        <v>1</v>
      </c>
      <c r="AG196" s="1">
        <f t="shared" si="76"/>
        <v>0</v>
      </c>
      <c r="AH196" s="1">
        <f t="shared" si="77"/>
        <v>1</v>
      </c>
      <c r="AI196" s="1">
        <f t="shared" si="78"/>
        <v>0</v>
      </c>
    </row>
    <row r="197" spans="1:35" ht="14.25" customHeight="1" x14ac:dyDescent="0.25">
      <c r="A197" s="47">
        <v>0</v>
      </c>
      <c r="B197" s="47">
        <v>1</v>
      </c>
      <c r="C197" s="47">
        <v>5</v>
      </c>
      <c r="D197" s="48" t="s">
        <v>896</v>
      </c>
      <c r="E197" s="48" t="s">
        <v>897</v>
      </c>
      <c r="F197" s="48" t="s">
        <v>938</v>
      </c>
      <c r="G197" s="48" t="s">
        <v>39</v>
      </c>
      <c r="H197" s="48" t="s">
        <v>898</v>
      </c>
      <c r="I197" s="47" t="s">
        <v>899</v>
      </c>
      <c r="J197" s="47">
        <v>17</v>
      </c>
      <c r="K197" s="49" t="s">
        <v>707</v>
      </c>
      <c r="L197" s="49" t="s">
        <v>701</v>
      </c>
      <c r="M197" s="50" t="s">
        <v>974</v>
      </c>
      <c r="N197" s="50" t="s">
        <v>1748</v>
      </c>
      <c r="O197" s="51"/>
      <c r="P197" s="51"/>
      <c r="Q197" s="48"/>
      <c r="S197" s="1">
        <f t="shared" si="79"/>
        <v>0</v>
      </c>
      <c r="T197" s="1">
        <f t="shared" si="80"/>
        <v>0</v>
      </c>
      <c r="U197" s="1">
        <f t="shared" si="81"/>
        <v>0</v>
      </c>
      <c r="V197" s="1">
        <f t="shared" si="82"/>
        <v>0</v>
      </c>
      <c r="W197" s="1">
        <f t="shared" si="83"/>
        <v>0</v>
      </c>
      <c r="X197" s="1">
        <f t="shared" si="84"/>
        <v>0</v>
      </c>
      <c r="Y197" s="1">
        <f t="shared" si="85"/>
        <v>0</v>
      </c>
      <c r="Z197" s="1">
        <f t="shared" si="86"/>
        <v>0</v>
      </c>
      <c r="AA197" s="1">
        <f t="shared" si="87"/>
        <v>0</v>
      </c>
      <c r="AB197" s="1">
        <f t="shared" si="88"/>
        <v>0</v>
      </c>
      <c r="AD197" s="1">
        <f t="shared" si="89"/>
        <v>0</v>
      </c>
      <c r="AE197" s="1">
        <f t="shared" si="90"/>
        <v>0</v>
      </c>
      <c r="AF197" s="1">
        <f t="shared" si="75"/>
        <v>0</v>
      </c>
      <c r="AG197" s="1">
        <f t="shared" si="76"/>
        <v>0</v>
      </c>
      <c r="AH197" s="1">
        <f t="shared" si="77"/>
        <v>0</v>
      </c>
      <c r="AI197" s="1">
        <f t="shared" si="78"/>
        <v>1</v>
      </c>
    </row>
    <row r="198" spans="1:35" ht="14.25" customHeight="1" x14ac:dyDescent="0.25">
      <c r="A198" s="15">
        <v>0</v>
      </c>
      <c r="B198" s="15">
        <v>1</v>
      </c>
      <c r="C198" s="15">
        <v>5</v>
      </c>
      <c r="D198" s="16" t="s">
        <v>1948</v>
      </c>
      <c r="E198" s="16" t="s">
        <v>897</v>
      </c>
      <c r="F198" s="16" t="s">
        <v>1950</v>
      </c>
      <c r="G198" s="16"/>
      <c r="H198" s="16" t="s">
        <v>1949</v>
      </c>
      <c r="I198" s="15" t="s">
        <v>1951</v>
      </c>
      <c r="J198" s="15">
        <v>16</v>
      </c>
      <c r="K198" s="10" t="s">
        <v>707</v>
      </c>
      <c r="L198" s="10" t="s">
        <v>701</v>
      </c>
      <c r="M198" s="19" t="s">
        <v>974</v>
      </c>
      <c r="N198" s="17"/>
      <c r="Q198" s="20" t="s">
        <v>1952</v>
      </c>
      <c r="S198" s="1">
        <f t="shared" si="79"/>
        <v>0</v>
      </c>
      <c r="T198" s="1">
        <f t="shared" si="80"/>
        <v>0</v>
      </c>
      <c r="U198" s="1">
        <f t="shared" si="81"/>
        <v>0</v>
      </c>
      <c r="V198" s="1">
        <f t="shared" si="82"/>
        <v>0</v>
      </c>
      <c r="W198" s="1">
        <f t="shared" si="83"/>
        <v>0</v>
      </c>
      <c r="X198" s="1">
        <f t="shared" si="84"/>
        <v>0</v>
      </c>
      <c r="Y198" s="1">
        <f t="shared" si="85"/>
        <v>0</v>
      </c>
      <c r="Z198" s="1">
        <f t="shared" si="86"/>
        <v>0</v>
      </c>
      <c r="AA198" s="1">
        <f t="shared" si="87"/>
        <v>0</v>
      </c>
      <c r="AB198" s="1">
        <f t="shared" si="88"/>
        <v>0</v>
      </c>
      <c r="AD198" s="1">
        <f t="shared" si="89"/>
        <v>0</v>
      </c>
      <c r="AE198" s="1">
        <f t="shared" si="90"/>
        <v>0</v>
      </c>
      <c r="AF198" s="1">
        <f t="shared" si="75"/>
        <v>0</v>
      </c>
      <c r="AG198" s="1">
        <f t="shared" si="76"/>
        <v>0</v>
      </c>
      <c r="AH198" s="1">
        <f t="shared" si="77"/>
        <v>0</v>
      </c>
      <c r="AI198" s="1">
        <f t="shared" si="78"/>
        <v>1</v>
      </c>
    </row>
    <row r="199" spans="1:35" ht="14.25" customHeight="1" x14ac:dyDescent="0.25">
      <c r="A199" s="47">
        <v>0</v>
      </c>
      <c r="B199" s="47">
        <v>1</v>
      </c>
      <c r="C199" s="47">
        <v>5</v>
      </c>
      <c r="D199" s="48" t="s">
        <v>131</v>
      </c>
      <c r="E199" s="48" t="s">
        <v>167</v>
      </c>
      <c r="F199" s="48" t="s">
        <v>333</v>
      </c>
      <c r="G199" s="48" t="s">
        <v>334</v>
      </c>
      <c r="H199" s="48" t="s">
        <v>355</v>
      </c>
      <c r="I199" s="47" t="s">
        <v>481</v>
      </c>
      <c r="J199" s="47">
        <v>99</v>
      </c>
      <c r="K199" s="49" t="s">
        <v>726</v>
      </c>
      <c r="L199" s="49" t="s">
        <v>698</v>
      </c>
      <c r="M199" s="50" t="s">
        <v>974</v>
      </c>
      <c r="N199" s="50" t="s">
        <v>1754</v>
      </c>
      <c r="O199" s="51"/>
      <c r="P199" s="51"/>
      <c r="Q199" s="48"/>
      <c r="S199" s="1">
        <f t="shared" si="79"/>
        <v>0</v>
      </c>
      <c r="T199" s="1">
        <f t="shared" si="80"/>
        <v>0</v>
      </c>
      <c r="U199" s="1">
        <f t="shared" si="81"/>
        <v>0</v>
      </c>
      <c r="V199" s="1">
        <f t="shared" si="82"/>
        <v>0</v>
      </c>
      <c r="W199" s="1">
        <f t="shared" si="83"/>
        <v>0</v>
      </c>
      <c r="X199" s="1">
        <f t="shared" si="84"/>
        <v>0</v>
      </c>
      <c r="Y199" s="1">
        <f t="shared" si="85"/>
        <v>0</v>
      </c>
      <c r="Z199" s="1">
        <f t="shared" si="86"/>
        <v>0</v>
      </c>
      <c r="AA199" s="1">
        <f t="shared" si="87"/>
        <v>0</v>
      </c>
      <c r="AB199" s="1">
        <f t="shared" si="88"/>
        <v>0</v>
      </c>
      <c r="AD199" s="1">
        <f t="shared" si="89"/>
        <v>0</v>
      </c>
      <c r="AE199" s="1">
        <f t="shared" si="90"/>
        <v>0</v>
      </c>
      <c r="AF199" s="1">
        <f t="shared" si="75"/>
        <v>0</v>
      </c>
      <c r="AG199" s="1">
        <f t="shared" si="76"/>
        <v>0</v>
      </c>
      <c r="AH199" s="1">
        <f t="shared" si="77"/>
        <v>0</v>
      </c>
      <c r="AI199" s="1">
        <f t="shared" si="78"/>
        <v>1</v>
      </c>
    </row>
    <row r="200" spans="1:35" ht="14.25" customHeight="1" x14ac:dyDescent="0.25">
      <c r="A200" s="34">
        <v>0</v>
      </c>
      <c r="B200" s="34">
        <v>1</v>
      </c>
      <c r="C200" s="34">
        <v>5</v>
      </c>
      <c r="D200" s="35" t="s">
        <v>109</v>
      </c>
      <c r="E200" s="35" t="s">
        <v>167</v>
      </c>
      <c r="F200" s="35" t="s">
        <v>308</v>
      </c>
      <c r="G200" s="35" t="s">
        <v>232</v>
      </c>
      <c r="H200" s="35" t="s">
        <v>355</v>
      </c>
      <c r="I200" s="34" t="s">
        <v>457</v>
      </c>
      <c r="J200" s="34">
        <v>99</v>
      </c>
      <c r="K200" s="36" t="s">
        <v>726</v>
      </c>
      <c r="L200" s="36" t="s">
        <v>700</v>
      </c>
      <c r="M200" s="37" t="s">
        <v>695</v>
      </c>
      <c r="N200" s="37" t="s">
        <v>1750</v>
      </c>
      <c r="O200" s="38">
        <v>1</v>
      </c>
      <c r="P200" s="38"/>
      <c r="Q200" s="35"/>
      <c r="S200" s="1">
        <f t="shared" si="79"/>
        <v>0</v>
      </c>
      <c r="T200" s="1">
        <f t="shared" si="80"/>
        <v>0</v>
      </c>
      <c r="U200" s="1">
        <f t="shared" si="81"/>
        <v>0</v>
      </c>
      <c r="V200" s="1">
        <f t="shared" si="82"/>
        <v>0</v>
      </c>
      <c r="W200" s="1">
        <f t="shared" si="83"/>
        <v>0</v>
      </c>
      <c r="X200" s="1">
        <f t="shared" si="84"/>
        <v>0</v>
      </c>
      <c r="Y200" s="1">
        <f t="shared" si="85"/>
        <v>0</v>
      </c>
      <c r="Z200" s="1">
        <f t="shared" si="86"/>
        <v>0</v>
      </c>
      <c r="AA200" s="1">
        <f t="shared" si="87"/>
        <v>0</v>
      </c>
      <c r="AB200" s="1">
        <f t="shared" si="88"/>
        <v>0</v>
      </c>
      <c r="AD200" s="1">
        <f t="shared" si="89"/>
        <v>0</v>
      </c>
      <c r="AE200" s="1">
        <f t="shared" si="90"/>
        <v>1</v>
      </c>
      <c r="AF200" s="1">
        <f t="shared" si="75"/>
        <v>0</v>
      </c>
      <c r="AG200" s="1">
        <f t="shared" si="76"/>
        <v>1</v>
      </c>
      <c r="AH200" s="1">
        <f t="shared" si="77"/>
        <v>0</v>
      </c>
      <c r="AI200" s="1">
        <f t="shared" si="78"/>
        <v>1</v>
      </c>
    </row>
    <row r="201" spans="1:35" ht="14.25" customHeight="1" x14ac:dyDescent="0.25">
      <c r="A201" s="15">
        <v>0</v>
      </c>
      <c r="B201" s="15">
        <v>1</v>
      </c>
      <c r="C201" s="15">
        <v>5</v>
      </c>
      <c r="D201" s="16" t="s">
        <v>111</v>
      </c>
      <c r="E201" s="16" t="s">
        <v>173</v>
      </c>
      <c r="F201" s="16" t="s">
        <v>311</v>
      </c>
      <c r="G201" s="16" t="s">
        <v>39</v>
      </c>
      <c r="H201" s="16" t="s">
        <v>365</v>
      </c>
      <c r="I201" s="15" t="s">
        <v>460</v>
      </c>
      <c r="J201" s="15">
        <v>17</v>
      </c>
      <c r="K201" s="10" t="s">
        <v>707</v>
      </c>
      <c r="L201" s="10" t="s">
        <v>701</v>
      </c>
      <c r="M201" s="19" t="s">
        <v>695</v>
      </c>
      <c r="N201" s="17"/>
      <c r="Q201" s="20" t="s">
        <v>1922</v>
      </c>
      <c r="S201" s="1">
        <f t="shared" si="79"/>
        <v>0</v>
      </c>
      <c r="T201" s="1">
        <f t="shared" si="80"/>
        <v>0</v>
      </c>
      <c r="U201" s="1">
        <f t="shared" si="81"/>
        <v>0</v>
      </c>
      <c r="V201" s="1">
        <f t="shared" si="82"/>
        <v>0</v>
      </c>
      <c r="W201" s="1">
        <f t="shared" si="83"/>
        <v>0</v>
      </c>
      <c r="X201" s="1">
        <f t="shared" si="84"/>
        <v>0</v>
      </c>
      <c r="Y201" s="1">
        <f t="shared" si="85"/>
        <v>0</v>
      </c>
      <c r="Z201" s="1">
        <f t="shared" si="86"/>
        <v>0</v>
      </c>
      <c r="AA201" s="1">
        <f t="shared" si="87"/>
        <v>0</v>
      </c>
      <c r="AB201" s="1">
        <f t="shared" si="88"/>
        <v>0</v>
      </c>
      <c r="AD201" s="1">
        <f t="shared" si="89"/>
        <v>0</v>
      </c>
      <c r="AE201" s="1">
        <f t="shared" si="90"/>
        <v>0</v>
      </c>
      <c r="AF201" s="1">
        <f t="shared" si="75"/>
        <v>0</v>
      </c>
      <c r="AG201" s="1">
        <f t="shared" si="76"/>
        <v>0</v>
      </c>
      <c r="AH201" s="1">
        <f t="shared" si="77"/>
        <v>0</v>
      </c>
      <c r="AI201" s="1">
        <f t="shared" si="78"/>
        <v>1</v>
      </c>
    </row>
    <row r="202" spans="1:35" ht="14.25" customHeight="1" x14ac:dyDescent="0.25">
      <c r="A202" s="34">
        <v>0</v>
      </c>
      <c r="B202" s="34">
        <v>1</v>
      </c>
      <c r="C202" s="34">
        <v>5</v>
      </c>
      <c r="D202" s="35" t="s">
        <v>527</v>
      </c>
      <c r="E202" s="35" t="s">
        <v>528</v>
      </c>
      <c r="F202" s="35" t="s">
        <v>529</v>
      </c>
      <c r="G202" s="35" t="s">
        <v>203</v>
      </c>
      <c r="H202" s="35" t="s">
        <v>355</v>
      </c>
      <c r="I202" s="34" t="s">
        <v>530</v>
      </c>
      <c r="J202" s="34">
        <v>10</v>
      </c>
      <c r="K202" s="36" t="s">
        <v>706</v>
      </c>
      <c r="L202" s="36" t="s">
        <v>697</v>
      </c>
      <c r="M202" s="37" t="s">
        <v>974</v>
      </c>
      <c r="N202" s="37" t="s">
        <v>1740</v>
      </c>
      <c r="O202" s="38">
        <v>1</v>
      </c>
      <c r="P202" s="38">
        <v>1</v>
      </c>
      <c r="Q202" s="35"/>
      <c r="S202" s="1">
        <f t="shared" si="79"/>
        <v>0</v>
      </c>
      <c r="T202" s="1">
        <f t="shared" si="80"/>
        <v>0</v>
      </c>
      <c r="U202" s="1">
        <f t="shared" si="81"/>
        <v>0</v>
      </c>
      <c r="V202" s="1">
        <f t="shared" si="82"/>
        <v>0</v>
      </c>
      <c r="W202" s="1">
        <f t="shared" si="83"/>
        <v>0</v>
      </c>
      <c r="X202" s="1">
        <f t="shared" si="84"/>
        <v>0</v>
      </c>
      <c r="Y202" s="1">
        <f t="shared" si="85"/>
        <v>0</v>
      </c>
      <c r="Z202" s="1">
        <f t="shared" si="86"/>
        <v>0</v>
      </c>
      <c r="AA202" s="1">
        <f t="shared" si="87"/>
        <v>0</v>
      </c>
      <c r="AB202" s="1">
        <f t="shared" si="88"/>
        <v>1</v>
      </c>
      <c r="AD202" s="1">
        <f t="shared" si="89"/>
        <v>1</v>
      </c>
      <c r="AE202" s="1">
        <f t="shared" si="90"/>
        <v>0</v>
      </c>
      <c r="AF202" s="1">
        <f t="shared" ref="AF202:AF265" si="94">+O202*P202*(1-A202)</f>
        <v>1</v>
      </c>
      <c r="AG202" s="1">
        <f t="shared" ref="AG202:AG265" si="95">O202*(1-P202)*(1-A202)</f>
        <v>0</v>
      </c>
      <c r="AH202" s="1">
        <f t="shared" ref="AH202:AH265" si="96">+P202*(1-A202)</f>
        <v>1</v>
      </c>
      <c r="AI202" s="1">
        <f t="shared" ref="AI202:AI265" si="97">+(1-A202)*(1-P202)</f>
        <v>0</v>
      </c>
    </row>
    <row r="203" spans="1:35" ht="14.25" customHeight="1" x14ac:dyDescent="0.25">
      <c r="A203" s="34">
        <v>0</v>
      </c>
      <c r="B203" s="34">
        <v>1</v>
      </c>
      <c r="C203" s="34">
        <v>5</v>
      </c>
      <c r="D203" s="35" t="s">
        <v>1506</v>
      </c>
      <c r="E203" s="35" t="s">
        <v>167</v>
      </c>
      <c r="F203" s="35" t="s">
        <v>1507</v>
      </c>
      <c r="G203" s="35" t="s">
        <v>181</v>
      </c>
      <c r="H203" s="35" t="s">
        <v>355</v>
      </c>
      <c r="I203" s="34" t="s">
        <v>1508</v>
      </c>
      <c r="J203" s="34">
        <v>10</v>
      </c>
      <c r="K203" s="36" t="s">
        <v>960</v>
      </c>
      <c r="L203" s="36" t="s">
        <v>697</v>
      </c>
      <c r="M203" s="37" t="s">
        <v>974</v>
      </c>
      <c r="N203" s="37" t="s">
        <v>1734</v>
      </c>
      <c r="O203" s="38">
        <v>1</v>
      </c>
      <c r="P203" s="38">
        <v>1</v>
      </c>
      <c r="Q203" s="35"/>
      <c r="S203" s="1">
        <f t="shared" si="79"/>
        <v>0</v>
      </c>
      <c r="T203" s="1">
        <f t="shared" si="80"/>
        <v>0</v>
      </c>
      <c r="U203" s="1">
        <f t="shared" si="81"/>
        <v>0</v>
      </c>
      <c r="V203" s="1">
        <f t="shared" si="82"/>
        <v>0</v>
      </c>
      <c r="W203" s="1">
        <f t="shared" si="83"/>
        <v>0</v>
      </c>
      <c r="X203" s="1">
        <f t="shared" si="84"/>
        <v>0</v>
      </c>
      <c r="Y203" s="1">
        <f t="shared" si="85"/>
        <v>0</v>
      </c>
      <c r="Z203" s="1">
        <f t="shared" si="86"/>
        <v>0</v>
      </c>
      <c r="AA203" s="1">
        <f t="shared" si="87"/>
        <v>0</v>
      </c>
      <c r="AB203" s="1">
        <f t="shared" si="88"/>
        <v>1</v>
      </c>
      <c r="AD203" s="1">
        <f t="shared" si="89"/>
        <v>1</v>
      </c>
      <c r="AE203" s="1">
        <f t="shared" si="90"/>
        <v>0</v>
      </c>
      <c r="AF203" s="1">
        <f t="shared" si="94"/>
        <v>1</v>
      </c>
      <c r="AG203" s="1">
        <f t="shared" si="95"/>
        <v>0</v>
      </c>
      <c r="AH203" s="1">
        <f t="shared" si="96"/>
        <v>1</v>
      </c>
      <c r="AI203" s="1">
        <f t="shared" si="97"/>
        <v>0</v>
      </c>
    </row>
    <row r="204" spans="1:35" ht="14.25" customHeight="1" x14ac:dyDescent="0.25">
      <c r="A204" s="34">
        <v>0</v>
      </c>
      <c r="B204" s="34">
        <v>1</v>
      </c>
      <c r="C204" s="34">
        <v>5</v>
      </c>
      <c r="D204" s="35" t="s">
        <v>1764</v>
      </c>
      <c r="E204" s="35" t="s">
        <v>167</v>
      </c>
      <c r="F204" s="35" t="s">
        <v>1765</v>
      </c>
      <c r="G204" s="35" t="s">
        <v>1766</v>
      </c>
      <c r="H204" s="35" t="s">
        <v>355</v>
      </c>
      <c r="I204" s="34" t="s">
        <v>1767</v>
      </c>
      <c r="J204" s="34">
        <v>1</v>
      </c>
      <c r="K204" s="36" t="s">
        <v>707</v>
      </c>
      <c r="L204" s="36"/>
      <c r="M204" s="37"/>
      <c r="N204" s="37" t="s">
        <v>1755</v>
      </c>
      <c r="O204" s="38">
        <v>1</v>
      </c>
      <c r="P204" s="38"/>
      <c r="Q204" s="35"/>
      <c r="S204" s="1">
        <f t="shared" si="79"/>
        <v>1</v>
      </c>
      <c r="T204" s="1">
        <f t="shared" si="80"/>
        <v>0</v>
      </c>
      <c r="U204" s="1">
        <f t="shared" si="81"/>
        <v>0</v>
      </c>
      <c r="V204" s="1">
        <f t="shared" si="82"/>
        <v>0</v>
      </c>
      <c r="W204" s="1">
        <f t="shared" si="83"/>
        <v>0</v>
      </c>
      <c r="X204" s="1">
        <f t="shared" si="84"/>
        <v>0</v>
      </c>
      <c r="Y204" s="1">
        <f t="shared" si="85"/>
        <v>0</v>
      </c>
      <c r="Z204" s="1">
        <f t="shared" si="86"/>
        <v>0</v>
      </c>
      <c r="AA204" s="1">
        <f t="shared" si="87"/>
        <v>0</v>
      </c>
      <c r="AB204" s="1">
        <f t="shared" si="88"/>
        <v>0</v>
      </c>
      <c r="AD204" s="1">
        <f t="shared" si="89"/>
        <v>0</v>
      </c>
      <c r="AE204" s="1">
        <f t="shared" si="90"/>
        <v>1</v>
      </c>
      <c r="AF204" s="1">
        <f t="shared" si="94"/>
        <v>0</v>
      </c>
      <c r="AG204" s="1">
        <f t="shared" si="95"/>
        <v>1</v>
      </c>
      <c r="AH204" s="1">
        <f t="shared" si="96"/>
        <v>0</v>
      </c>
      <c r="AI204" s="1">
        <f t="shared" si="97"/>
        <v>1</v>
      </c>
    </row>
    <row r="205" spans="1:35" ht="14.25" customHeight="1" x14ac:dyDescent="0.25">
      <c r="A205" s="47">
        <v>0</v>
      </c>
      <c r="B205" s="47">
        <v>1</v>
      </c>
      <c r="C205" s="47">
        <v>5</v>
      </c>
      <c r="D205" s="48" t="s">
        <v>1030</v>
      </c>
      <c r="E205" s="48" t="s">
        <v>1091</v>
      </c>
      <c r="F205" s="48" t="s">
        <v>1031</v>
      </c>
      <c r="G205" s="48" t="s">
        <v>195</v>
      </c>
      <c r="H205" s="48" t="s">
        <v>355</v>
      </c>
      <c r="I205" s="47" t="s">
        <v>1032</v>
      </c>
      <c r="J205" s="47">
        <v>9</v>
      </c>
      <c r="K205" s="49" t="s">
        <v>726</v>
      </c>
      <c r="L205" s="49" t="s">
        <v>1711</v>
      </c>
      <c r="M205" s="50" t="s">
        <v>1611</v>
      </c>
      <c r="N205" s="50" t="s">
        <v>1742</v>
      </c>
      <c r="O205" s="51"/>
      <c r="P205" s="51"/>
      <c r="Q205" s="48"/>
      <c r="S205" s="1">
        <f t="shared" si="79"/>
        <v>0</v>
      </c>
      <c r="T205" s="1">
        <f t="shared" si="80"/>
        <v>0</v>
      </c>
      <c r="U205" s="1">
        <f t="shared" si="81"/>
        <v>0</v>
      </c>
      <c r="V205" s="1">
        <f t="shared" si="82"/>
        <v>0</v>
      </c>
      <c r="W205" s="1">
        <f t="shared" si="83"/>
        <v>0</v>
      </c>
      <c r="X205" s="1">
        <f t="shared" si="84"/>
        <v>0</v>
      </c>
      <c r="Y205" s="1">
        <f t="shared" si="85"/>
        <v>0</v>
      </c>
      <c r="Z205" s="1">
        <f t="shared" si="86"/>
        <v>0</v>
      </c>
      <c r="AA205" s="1">
        <f t="shared" si="87"/>
        <v>1</v>
      </c>
      <c r="AB205" s="1">
        <f t="shared" si="88"/>
        <v>0</v>
      </c>
      <c r="AD205" s="1">
        <f t="shared" si="89"/>
        <v>0</v>
      </c>
      <c r="AE205" s="1">
        <f t="shared" si="90"/>
        <v>0</v>
      </c>
      <c r="AF205" s="1">
        <f t="shared" si="94"/>
        <v>0</v>
      </c>
      <c r="AG205" s="1">
        <f t="shared" si="95"/>
        <v>0</v>
      </c>
      <c r="AH205" s="1">
        <f t="shared" si="96"/>
        <v>0</v>
      </c>
      <c r="AI205" s="1">
        <f t="shared" si="97"/>
        <v>1</v>
      </c>
    </row>
    <row r="206" spans="1:35" ht="14.25" customHeight="1" x14ac:dyDescent="0.25">
      <c r="A206" s="47">
        <v>0</v>
      </c>
      <c r="B206" s="47">
        <v>1</v>
      </c>
      <c r="C206" s="47">
        <v>5</v>
      </c>
      <c r="D206" s="48" t="s">
        <v>1621</v>
      </c>
      <c r="E206" s="48" t="s">
        <v>167</v>
      </c>
      <c r="F206" s="48" t="s">
        <v>1622</v>
      </c>
      <c r="G206" s="48" t="s">
        <v>214</v>
      </c>
      <c r="H206" s="48" t="s">
        <v>355</v>
      </c>
      <c r="I206" s="47" t="s">
        <v>1623</v>
      </c>
      <c r="J206" s="47">
        <v>1</v>
      </c>
      <c r="K206" s="49" t="s">
        <v>726</v>
      </c>
      <c r="L206" s="49" t="s">
        <v>698</v>
      </c>
      <c r="M206" s="50" t="s">
        <v>974</v>
      </c>
      <c r="N206" s="50" t="s">
        <v>1743</v>
      </c>
      <c r="O206" s="51"/>
      <c r="P206" s="51"/>
      <c r="Q206" s="48"/>
      <c r="S206" s="1">
        <f t="shared" si="79"/>
        <v>1</v>
      </c>
      <c r="T206" s="1">
        <f t="shared" si="80"/>
        <v>0</v>
      </c>
      <c r="U206" s="1">
        <f t="shared" si="81"/>
        <v>0</v>
      </c>
      <c r="V206" s="1">
        <f t="shared" si="82"/>
        <v>0</v>
      </c>
      <c r="W206" s="1">
        <f t="shared" si="83"/>
        <v>0</v>
      </c>
      <c r="X206" s="1">
        <f t="shared" si="84"/>
        <v>0</v>
      </c>
      <c r="Y206" s="1">
        <f t="shared" si="85"/>
        <v>0</v>
      </c>
      <c r="Z206" s="1">
        <f t="shared" si="86"/>
        <v>0</v>
      </c>
      <c r="AA206" s="1">
        <f t="shared" si="87"/>
        <v>0</v>
      </c>
      <c r="AB206" s="1">
        <f t="shared" si="88"/>
        <v>0</v>
      </c>
      <c r="AD206" s="1">
        <f t="shared" si="89"/>
        <v>0</v>
      </c>
      <c r="AE206" s="1">
        <f t="shared" si="90"/>
        <v>0</v>
      </c>
      <c r="AF206" s="1">
        <f t="shared" si="94"/>
        <v>0</v>
      </c>
      <c r="AG206" s="1">
        <f t="shared" si="95"/>
        <v>0</v>
      </c>
      <c r="AH206" s="1">
        <f t="shared" si="96"/>
        <v>0</v>
      </c>
      <c r="AI206" s="1">
        <f t="shared" si="97"/>
        <v>1</v>
      </c>
    </row>
    <row r="207" spans="1:35" ht="14.25" customHeight="1" x14ac:dyDescent="0.25">
      <c r="A207" s="41">
        <v>0</v>
      </c>
      <c r="B207" s="41">
        <v>1</v>
      </c>
      <c r="C207" s="41">
        <v>5</v>
      </c>
      <c r="D207" s="42" t="s">
        <v>148</v>
      </c>
      <c r="E207" s="42" t="s">
        <v>547</v>
      </c>
      <c r="F207" s="42" t="s">
        <v>1606</v>
      </c>
      <c r="G207" s="42" t="s">
        <v>1680</v>
      </c>
      <c r="H207" s="42" t="s">
        <v>355</v>
      </c>
      <c r="I207" s="41" t="s">
        <v>496</v>
      </c>
      <c r="J207" s="41">
        <v>99</v>
      </c>
      <c r="K207" s="43" t="s">
        <v>706</v>
      </c>
      <c r="L207" s="43" t="s">
        <v>693</v>
      </c>
      <c r="M207" s="44" t="s">
        <v>974</v>
      </c>
      <c r="N207" s="45"/>
      <c r="O207" s="46"/>
      <c r="P207" s="46">
        <v>1</v>
      </c>
      <c r="Q207" s="42"/>
      <c r="S207" s="1">
        <f t="shared" ref="S207:S269" si="98">IF(J207=$S$7,1,0)</f>
        <v>0</v>
      </c>
      <c r="T207" s="1">
        <f t="shared" ref="T207:T269" si="99">IF(J207=$T$7,1,0)</f>
        <v>0</v>
      </c>
      <c r="U207" s="1">
        <f t="shared" ref="U207:U269" si="100">IF(J207=$U$7,1,0)</f>
        <v>0</v>
      </c>
      <c r="V207" s="1">
        <f t="shared" ref="V207:V269" si="101">IF(J207=$V$7,1,0)</f>
        <v>0</v>
      </c>
      <c r="W207" s="1">
        <f t="shared" ref="W207:W269" si="102">IF(J207=$W$7,1,0)</f>
        <v>0</v>
      </c>
      <c r="X207" s="1">
        <f t="shared" ref="X207:X269" si="103">IF(J207=$X$7,1,0)</f>
        <v>0</v>
      </c>
      <c r="Y207" s="1">
        <f t="shared" ref="Y207:Y269" si="104">IF(J207=$Y$7,1,0)</f>
        <v>0</v>
      </c>
      <c r="Z207" s="1">
        <f t="shared" ref="Z207:Z269" si="105">IF(J207=$Z$7,1,0)</f>
        <v>0</v>
      </c>
      <c r="AA207" s="1">
        <f t="shared" ref="AA207:AA269" si="106">IF(J207=$AA$7,1,0)</f>
        <v>0</v>
      </c>
      <c r="AB207" s="1">
        <f t="shared" ref="AB207:AB269" si="107">IF(J207=$AB$7,1,0)</f>
        <v>0</v>
      </c>
      <c r="AD207" s="1">
        <f t="shared" ref="AD207:AD269" si="108">+O207*P207</f>
        <v>0</v>
      </c>
      <c r="AE207" s="1">
        <f t="shared" ref="AE207:AE269" si="109">O207*(1-P207)</f>
        <v>0</v>
      </c>
      <c r="AF207" s="1">
        <f t="shared" si="94"/>
        <v>0</v>
      </c>
      <c r="AG207" s="1">
        <f t="shared" si="95"/>
        <v>0</v>
      </c>
      <c r="AH207" s="1">
        <f t="shared" si="96"/>
        <v>1</v>
      </c>
      <c r="AI207" s="1">
        <f t="shared" si="97"/>
        <v>0</v>
      </c>
    </row>
    <row r="208" spans="1:35" ht="14.25" customHeight="1" x14ac:dyDescent="0.25">
      <c r="A208" s="15">
        <v>0</v>
      </c>
      <c r="B208" s="15">
        <v>1</v>
      </c>
      <c r="C208" s="15">
        <v>5</v>
      </c>
      <c r="D208" s="16" t="s">
        <v>1219</v>
      </c>
      <c r="E208" s="16" t="s">
        <v>167</v>
      </c>
      <c r="F208" s="16" t="s">
        <v>1220</v>
      </c>
      <c r="G208" s="16" t="s">
        <v>1221</v>
      </c>
      <c r="H208" s="16" t="s">
        <v>355</v>
      </c>
      <c r="I208" s="15" t="s">
        <v>1222</v>
      </c>
      <c r="J208" s="15">
        <v>99</v>
      </c>
      <c r="K208" s="10" t="s">
        <v>707</v>
      </c>
      <c r="L208" s="10">
        <v>30</v>
      </c>
      <c r="M208" s="19" t="s">
        <v>974</v>
      </c>
      <c r="N208" s="19"/>
      <c r="Q208" s="16"/>
      <c r="S208" s="1">
        <f t="shared" si="98"/>
        <v>0</v>
      </c>
      <c r="T208" s="1">
        <f t="shared" si="99"/>
        <v>0</v>
      </c>
      <c r="U208" s="1">
        <f t="shared" si="100"/>
        <v>0</v>
      </c>
      <c r="V208" s="1">
        <f t="shared" si="101"/>
        <v>0</v>
      </c>
      <c r="W208" s="1">
        <f t="shared" si="102"/>
        <v>0</v>
      </c>
      <c r="X208" s="1">
        <f t="shared" si="103"/>
        <v>0</v>
      </c>
      <c r="Y208" s="1">
        <f t="shared" si="104"/>
        <v>0</v>
      </c>
      <c r="Z208" s="1">
        <f t="shared" si="105"/>
        <v>0</v>
      </c>
      <c r="AA208" s="1">
        <f t="shared" si="106"/>
        <v>0</v>
      </c>
      <c r="AB208" s="1">
        <f t="shared" si="107"/>
        <v>0</v>
      </c>
      <c r="AD208" s="1">
        <f t="shared" si="108"/>
        <v>0</v>
      </c>
      <c r="AE208" s="1">
        <f t="shared" si="109"/>
        <v>0</v>
      </c>
      <c r="AF208" s="1">
        <f t="shared" si="94"/>
        <v>0</v>
      </c>
      <c r="AG208" s="1">
        <f t="shared" si="95"/>
        <v>0</v>
      </c>
      <c r="AH208" s="1">
        <f t="shared" si="96"/>
        <v>0</v>
      </c>
      <c r="AI208" s="1">
        <f t="shared" si="97"/>
        <v>1</v>
      </c>
    </row>
    <row r="209" spans="1:16384" s="2" customFormat="1" ht="14.25" customHeight="1" x14ac:dyDescent="0.25">
      <c r="A209" s="34">
        <v>0</v>
      </c>
      <c r="B209" s="34">
        <v>1</v>
      </c>
      <c r="C209" s="34">
        <v>5</v>
      </c>
      <c r="D209" s="35" t="s">
        <v>1607</v>
      </c>
      <c r="E209" s="35" t="s">
        <v>173</v>
      </c>
      <c r="F209" s="35" t="s">
        <v>812</v>
      </c>
      <c r="G209" s="35" t="s">
        <v>39</v>
      </c>
      <c r="H209" s="35" t="s">
        <v>813</v>
      </c>
      <c r="I209" s="34" t="s">
        <v>814</v>
      </c>
      <c r="J209" s="34">
        <v>16</v>
      </c>
      <c r="K209" s="36" t="s">
        <v>961</v>
      </c>
      <c r="L209" s="36" t="s">
        <v>1749</v>
      </c>
      <c r="M209" s="37" t="s">
        <v>974</v>
      </c>
      <c r="N209" s="37" t="s">
        <v>1755</v>
      </c>
      <c r="O209" s="38">
        <v>1</v>
      </c>
      <c r="P209" s="38"/>
      <c r="Q209" s="35"/>
      <c r="R209" s="1"/>
      <c r="S209" s="1">
        <f t="shared" si="98"/>
        <v>0</v>
      </c>
      <c r="T209" s="1">
        <f t="shared" si="99"/>
        <v>0</v>
      </c>
      <c r="U209" s="1">
        <f t="shared" si="100"/>
        <v>0</v>
      </c>
      <c r="V209" s="1">
        <f t="shared" si="101"/>
        <v>0</v>
      </c>
      <c r="W209" s="1">
        <f t="shared" si="102"/>
        <v>0</v>
      </c>
      <c r="X209" s="1">
        <f t="shared" si="103"/>
        <v>0</v>
      </c>
      <c r="Y209" s="1">
        <f t="shared" si="104"/>
        <v>0</v>
      </c>
      <c r="Z209" s="1">
        <f t="shared" si="105"/>
        <v>0</v>
      </c>
      <c r="AA209" s="1">
        <f t="shared" si="106"/>
        <v>0</v>
      </c>
      <c r="AB209" s="1">
        <f t="shared" si="107"/>
        <v>0</v>
      </c>
      <c r="AC209" s="1"/>
      <c r="AD209" s="1">
        <f t="shared" si="108"/>
        <v>0</v>
      </c>
      <c r="AE209" s="1">
        <f t="shared" si="109"/>
        <v>1</v>
      </c>
      <c r="AF209" s="1">
        <f t="shared" si="94"/>
        <v>0</v>
      </c>
      <c r="AG209" s="1">
        <f t="shared" si="95"/>
        <v>1</v>
      </c>
      <c r="AH209" s="1">
        <f t="shared" si="96"/>
        <v>0</v>
      </c>
      <c r="AI209" s="1">
        <f t="shared" si="97"/>
        <v>1</v>
      </c>
      <c r="AJ209" s="1"/>
    </row>
    <row r="210" spans="1:16384" s="2" customFormat="1" ht="14.25" customHeight="1" x14ac:dyDescent="0.25">
      <c r="A210" s="41">
        <v>0</v>
      </c>
      <c r="B210" s="41">
        <v>1</v>
      </c>
      <c r="C210" s="41">
        <v>5</v>
      </c>
      <c r="D210" s="57" t="s">
        <v>504</v>
      </c>
      <c r="E210" s="42" t="s">
        <v>167</v>
      </c>
      <c r="F210" s="42" t="s">
        <v>505</v>
      </c>
      <c r="G210" s="42" t="s">
        <v>506</v>
      </c>
      <c r="H210" s="42" t="s">
        <v>355</v>
      </c>
      <c r="I210" s="41" t="s">
        <v>507</v>
      </c>
      <c r="J210" s="41">
        <v>99</v>
      </c>
      <c r="K210" s="43" t="s">
        <v>961</v>
      </c>
      <c r="L210" s="43" t="s">
        <v>698</v>
      </c>
      <c r="M210" s="44" t="s">
        <v>695</v>
      </c>
      <c r="N210" s="45"/>
      <c r="O210" s="46"/>
      <c r="P210" s="46">
        <v>1</v>
      </c>
      <c r="Q210" s="42"/>
      <c r="R210" s="1"/>
      <c r="S210" s="1">
        <f t="shared" si="98"/>
        <v>0</v>
      </c>
      <c r="T210" s="1">
        <f t="shared" si="99"/>
        <v>0</v>
      </c>
      <c r="U210" s="1">
        <f t="shared" si="100"/>
        <v>0</v>
      </c>
      <c r="V210" s="1">
        <f t="shared" si="101"/>
        <v>0</v>
      </c>
      <c r="W210" s="1">
        <f t="shared" si="102"/>
        <v>0</v>
      </c>
      <c r="X210" s="1">
        <f t="shared" si="103"/>
        <v>0</v>
      </c>
      <c r="Y210" s="1">
        <f t="shared" si="104"/>
        <v>0</v>
      </c>
      <c r="Z210" s="1">
        <f t="shared" si="105"/>
        <v>0</v>
      </c>
      <c r="AA210" s="1">
        <f t="shared" si="106"/>
        <v>0</v>
      </c>
      <c r="AB210" s="1">
        <f t="shared" si="107"/>
        <v>0</v>
      </c>
      <c r="AC210" s="1"/>
      <c r="AD210" s="1">
        <f t="shared" si="108"/>
        <v>0</v>
      </c>
      <c r="AE210" s="1">
        <f t="shared" si="109"/>
        <v>0</v>
      </c>
      <c r="AF210" s="1">
        <f t="shared" si="94"/>
        <v>0</v>
      </c>
      <c r="AG210" s="1">
        <f t="shared" si="95"/>
        <v>0</v>
      </c>
      <c r="AH210" s="1">
        <f t="shared" si="96"/>
        <v>1</v>
      </c>
      <c r="AI210" s="1">
        <f t="shared" si="97"/>
        <v>0</v>
      </c>
      <c r="AJ210" s="1"/>
    </row>
    <row r="211" spans="1:16384" s="2" customFormat="1" ht="14.25" customHeight="1" x14ac:dyDescent="0.25">
      <c r="A211" s="34">
        <v>0</v>
      </c>
      <c r="B211" s="34">
        <v>1</v>
      </c>
      <c r="C211" s="34">
        <v>6</v>
      </c>
      <c r="D211" s="35" t="s">
        <v>1457</v>
      </c>
      <c r="E211" s="35" t="s">
        <v>168</v>
      </c>
      <c r="F211" s="35" t="s">
        <v>1458</v>
      </c>
      <c r="G211" s="35" t="s">
        <v>180</v>
      </c>
      <c r="H211" s="35" t="s">
        <v>355</v>
      </c>
      <c r="I211" s="34" t="s">
        <v>1459</v>
      </c>
      <c r="J211" s="34">
        <v>99</v>
      </c>
      <c r="K211" s="36" t="s">
        <v>960</v>
      </c>
      <c r="L211" s="36" t="s">
        <v>700</v>
      </c>
      <c r="M211" s="37" t="s">
        <v>1460</v>
      </c>
      <c r="N211" s="37" t="s">
        <v>1756</v>
      </c>
      <c r="O211" s="38">
        <v>1</v>
      </c>
      <c r="P211" s="38"/>
      <c r="Q211" s="39"/>
      <c r="R211" s="1"/>
      <c r="S211" s="1">
        <f t="shared" si="98"/>
        <v>0</v>
      </c>
      <c r="T211" s="1">
        <f t="shared" si="99"/>
        <v>0</v>
      </c>
      <c r="U211" s="1">
        <f t="shared" si="100"/>
        <v>0</v>
      </c>
      <c r="V211" s="1">
        <f t="shared" si="101"/>
        <v>0</v>
      </c>
      <c r="W211" s="1">
        <f t="shared" si="102"/>
        <v>0</v>
      </c>
      <c r="X211" s="1">
        <f t="shared" si="103"/>
        <v>0</v>
      </c>
      <c r="Y211" s="1">
        <f t="shared" si="104"/>
        <v>0</v>
      </c>
      <c r="Z211" s="1">
        <f t="shared" si="105"/>
        <v>0</v>
      </c>
      <c r="AA211" s="1">
        <f t="shared" si="106"/>
        <v>0</v>
      </c>
      <c r="AB211" s="1">
        <f t="shared" si="107"/>
        <v>0</v>
      </c>
      <c r="AC211" s="1"/>
      <c r="AD211" s="1">
        <f t="shared" si="108"/>
        <v>0</v>
      </c>
      <c r="AE211" s="1">
        <f t="shared" si="109"/>
        <v>1</v>
      </c>
      <c r="AF211" s="1">
        <f t="shared" si="94"/>
        <v>0</v>
      </c>
      <c r="AG211" s="1">
        <f t="shared" si="95"/>
        <v>1</v>
      </c>
      <c r="AH211" s="1">
        <f t="shared" si="96"/>
        <v>0</v>
      </c>
      <c r="AI211" s="1">
        <f t="shared" si="97"/>
        <v>1</v>
      </c>
      <c r="AJ211" s="1"/>
    </row>
    <row r="212" spans="1:16384" s="2" customFormat="1" ht="14.25" customHeight="1" x14ac:dyDescent="0.25">
      <c r="A212" s="34">
        <v>0</v>
      </c>
      <c r="B212" s="34">
        <v>1</v>
      </c>
      <c r="C212" s="34">
        <v>6</v>
      </c>
      <c r="D212" s="35" t="s">
        <v>1193</v>
      </c>
      <c r="E212" s="35" t="s">
        <v>1196</v>
      </c>
      <c r="F212" s="35" t="s">
        <v>1194</v>
      </c>
      <c r="G212" s="35" t="s">
        <v>39</v>
      </c>
      <c r="H212" s="35" t="s">
        <v>355</v>
      </c>
      <c r="I212" s="34" t="s">
        <v>1195</v>
      </c>
      <c r="J212" s="34">
        <v>99</v>
      </c>
      <c r="K212" s="36" t="s">
        <v>966</v>
      </c>
      <c r="L212" s="36" t="s">
        <v>39</v>
      </c>
      <c r="M212" s="37" t="s">
        <v>39</v>
      </c>
      <c r="N212" s="37" t="s">
        <v>1740</v>
      </c>
      <c r="O212" s="38">
        <v>1</v>
      </c>
      <c r="P212" s="38">
        <v>1</v>
      </c>
      <c r="Q212" s="39" t="s">
        <v>1915</v>
      </c>
      <c r="R212" s="1"/>
      <c r="S212" s="1">
        <f t="shared" si="98"/>
        <v>0</v>
      </c>
      <c r="T212" s="1">
        <f t="shared" si="99"/>
        <v>0</v>
      </c>
      <c r="U212" s="1">
        <f t="shared" si="100"/>
        <v>0</v>
      </c>
      <c r="V212" s="1">
        <f t="shared" si="101"/>
        <v>0</v>
      </c>
      <c r="W212" s="1">
        <f t="shared" si="102"/>
        <v>0</v>
      </c>
      <c r="X212" s="1">
        <f t="shared" si="103"/>
        <v>0</v>
      </c>
      <c r="Y212" s="1">
        <f t="shared" si="104"/>
        <v>0</v>
      </c>
      <c r="Z212" s="1">
        <f t="shared" si="105"/>
        <v>0</v>
      </c>
      <c r="AA212" s="1">
        <f t="shared" si="106"/>
        <v>0</v>
      </c>
      <c r="AB212" s="1">
        <f t="shared" si="107"/>
        <v>0</v>
      </c>
      <c r="AC212" s="1"/>
      <c r="AD212" s="1">
        <f t="shared" si="108"/>
        <v>1</v>
      </c>
      <c r="AE212" s="1">
        <f t="shared" si="109"/>
        <v>0</v>
      </c>
      <c r="AF212" s="1">
        <f t="shared" si="94"/>
        <v>1</v>
      </c>
      <c r="AG212" s="1">
        <f t="shared" si="95"/>
        <v>0</v>
      </c>
      <c r="AH212" s="1">
        <f t="shared" si="96"/>
        <v>1</v>
      </c>
      <c r="AI212" s="1">
        <f t="shared" si="97"/>
        <v>0</v>
      </c>
      <c r="AJ212" s="1"/>
    </row>
    <row r="213" spans="1:16384" s="2" customFormat="1" ht="14.25" customHeight="1" x14ac:dyDescent="0.25">
      <c r="A213" s="34">
        <v>0</v>
      </c>
      <c r="B213" s="34">
        <v>1</v>
      </c>
      <c r="C213" s="34">
        <v>6</v>
      </c>
      <c r="D213" s="35" t="s">
        <v>1655</v>
      </c>
      <c r="E213" s="35" t="s">
        <v>1663</v>
      </c>
      <c r="F213" s="35" t="s">
        <v>1690</v>
      </c>
      <c r="G213" s="35" t="s">
        <v>1691</v>
      </c>
      <c r="H213" s="35" t="s">
        <v>355</v>
      </c>
      <c r="I213" s="34" t="s">
        <v>1703</v>
      </c>
      <c r="J213" s="34">
        <v>1</v>
      </c>
      <c r="K213" s="36" t="s">
        <v>962</v>
      </c>
      <c r="L213" s="36" t="s">
        <v>39</v>
      </c>
      <c r="M213" s="37" t="s">
        <v>39</v>
      </c>
      <c r="N213" s="37" t="s">
        <v>1734</v>
      </c>
      <c r="O213" s="38">
        <v>1</v>
      </c>
      <c r="P213" s="38">
        <v>1</v>
      </c>
      <c r="Q213" s="35"/>
      <c r="R213" s="1"/>
      <c r="S213" s="1">
        <f t="shared" si="98"/>
        <v>1</v>
      </c>
      <c r="T213" s="1">
        <f t="shared" si="99"/>
        <v>0</v>
      </c>
      <c r="U213" s="1">
        <f t="shared" si="100"/>
        <v>0</v>
      </c>
      <c r="V213" s="1">
        <f t="shared" si="101"/>
        <v>0</v>
      </c>
      <c r="W213" s="1">
        <f t="shared" si="102"/>
        <v>0</v>
      </c>
      <c r="X213" s="1">
        <f t="shared" si="103"/>
        <v>0</v>
      </c>
      <c r="Y213" s="1">
        <f t="shared" si="104"/>
        <v>0</v>
      </c>
      <c r="Z213" s="1">
        <f t="shared" si="105"/>
        <v>0</v>
      </c>
      <c r="AA213" s="1">
        <f t="shared" si="106"/>
        <v>0</v>
      </c>
      <c r="AB213" s="1">
        <f t="shared" si="107"/>
        <v>0</v>
      </c>
      <c r="AC213" s="1"/>
      <c r="AD213" s="1">
        <f t="shared" si="108"/>
        <v>1</v>
      </c>
      <c r="AE213" s="1">
        <f t="shared" si="109"/>
        <v>0</v>
      </c>
      <c r="AF213" s="1">
        <f t="shared" si="94"/>
        <v>1</v>
      </c>
      <c r="AG213" s="1">
        <f t="shared" si="95"/>
        <v>0</v>
      </c>
      <c r="AH213" s="1">
        <f t="shared" si="96"/>
        <v>1</v>
      </c>
      <c r="AI213" s="1">
        <f t="shared" si="97"/>
        <v>0</v>
      </c>
      <c r="AJ213" s="1"/>
    </row>
    <row r="214" spans="1:16384" s="2" customFormat="1" ht="14.25" customHeight="1" x14ac:dyDescent="0.25">
      <c r="A214" s="34">
        <v>0</v>
      </c>
      <c r="B214" s="34">
        <v>1</v>
      </c>
      <c r="C214" s="34">
        <v>6</v>
      </c>
      <c r="D214" s="35" t="s">
        <v>90</v>
      </c>
      <c r="E214" s="35" t="s">
        <v>169</v>
      </c>
      <c r="F214" s="35" t="s">
        <v>285</v>
      </c>
      <c r="G214" s="35" t="s">
        <v>231</v>
      </c>
      <c r="H214" s="35" t="s">
        <v>355</v>
      </c>
      <c r="I214" s="34" t="s">
        <v>439</v>
      </c>
      <c r="J214" s="34">
        <v>7</v>
      </c>
      <c r="K214" s="36" t="s">
        <v>726</v>
      </c>
      <c r="L214" s="36">
        <v>40</v>
      </c>
      <c r="M214" s="37" t="s">
        <v>39</v>
      </c>
      <c r="N214" s="37" t="s">
        <v>1755</v>
      </c>
      <c r="O214" s="38">
        <v>1</v>
      </c>
      <c r="P214" s="38"/>
      <c r="Q214" s="35"/>
      <c r="R214" s="1"/>
      <c r="S214" s="1">
        <f t="shared" si="98"/>
        <v>0</v>
      </c>
      <c r="T214" s="1">
        <f t="shared" si="99"/>
        <v>0</v>
      </c>
      <c r="U214" s="1">
        <f t="shared" si="100"/>
        <v>0</v>
      </c>
      <c r="V214" s="1">
        <f t="shared" si="101"/>
        <v>0</v>
      </c>
      <c r="W214" s="1">
        <f t="shared" si="102"/>
        <v>0</v>
      </c>
      <c r="X214" s="1">
        <f t="shared" si="103"/>
        <v>0</v>
      </c>
      <c r="Y214" s="1">
        <f t="shared" si="104"/>
        <v>1</v>
      </c>
      <c r="Z214" s="1">
        <f t="shared" si="105"/>
        <v>0</v>
      </c>
      <c r="AA214" s="1">
        <f t="shared" si="106"/>
        <v>0</v>
      </c>
      <c r="AB214" s="1">
        <f t="shared" si="107"/>
        <v>0</v>
      </c>
      <c r="AC214" s="1"/>
      <c r="AD214" s="1">
        <f t="shared" si="108"/>
        <v>0</v>
      </c>
      <c r="AE214" s="1">
        <f t="shared" si="109"/>
        <v>1</v>
      </c>
      <c r="AF214" s="1">
        <f t="shared" si="94"/>
        <v>0</v>
      </c>
      <c r="AG214" s="1">
        <f t="shared" si="95"/>
        <v>1</v>
      </c>
      <c r="AH214" s="1">
        <f t="shared" si="96"/>
        <v>0</v>
      </c>
      <c r="AI214" s="1">
        <f t="shared" si="97"/>
        <v>1</v>
      </c>
      <c r="AJ214" s="1"/>
    </row>
    <row r="215" spans="1:16384" s="2" customFormat="1" ht="14.25" customHeight="1" x14ac:dyDescent="0.25">
      <c r="A215" s="34">
        <v>0</v>
      </c>
      <c r="B215" s="34">
        <v>1</v>
      </c>
      <c r="C215" s="34">
        <v>6</v>
      </c>
      <c r="D215" s="35" t="s">
        <v>91</v>
      </c>
      <c r="E215" s="35" t="s">
        <v>166</v>
      </c>
      <c r="F215" s="39" t="s">
        <v>1878</v>
      </c>
      <c r="G215" s="35" t="s">
        <v>241</v>
      </c>
      <c r="H215" s="35" t="s">
        <v>355</v>
      </c>
      <c r="I215" s="34" t="s">
        <v>440</v>
      </c>
      <c r="J215" s="34">
        <v>1</v>
      </c>
      <c r="K215" s="36" t="s">
        <v>968</v>
      </c>
      <c r="L215" s="36" t="s">
        <v>39</v>
      </c>
      <c r="M215" s="37" t="s">
        <v>39</v>
      </c>
      <c r="N215" s="37" t="s">
        <v>1734</v>
      </c>
      <c r="O215" s="38">
        <v>1</v>
      </c>
      <c r="P215" s="38">
        <v>1</v>
      </c>
      <c r="Q215" s="35"/>
      <c r="R215" s="1"/>
      <c r="S215" s="1">
        <f t="shared" si="98"/>
        <v>1</v>
      </c>
      <c r="T215" s="1">
        <f t="shared" si="99"/>
        <v>0</v>
      </c>
      <c r="U215" s="1">
        <f t="shared" si="100"/>
        <v>0</v>
      </c>
      <c r="V215" s="1">
        <f t="shared" si="101"/>
        <v>0</v>
      </c>
      <c r="W215" s="1">
        <f t="shared" si="102"/>
        <v>0</v>
      </c>
      <c r="X215" s="1">
        <f t="shared" si="103"/>
        <v>0</v>
      </c>
      <c r="Y215" s="1">
        <f t="shared" si="104"/>
        <v>0</v>
      </c>
      <c r="Z215" s="1">
        <f t="shared" si="105"/>
        <v>0</v>
      </c>
      <c r="AA215" s="1">
        <f t="shared" si="106"/>
        <v>0</v>
      </c>
      <c r="AB215" s="1">
        <f t="shared" si="107"/>
        <v>0</v>
      </c>
      <c r="AC215" s="1"/>
      <c r="AD215" s="1">
        <f t="shared" si="108"/>
        <v>1</v>
      </c>
      <c r="AE215" s="1">
        <f t="shared" si="109"/>
        <v>0</v>
      </c>
      <c r="AF215" s="1">
        <f t="shared" si="94"/>
        <v>1</v>
      </c>
      <c r="AG215" s="1">
        <f t="shared" si="95"/>
        <v>0</v>
      </c>
      <c r="AH215" s="1">
        <f t="shared" si="96"/>
        <v>1</v>
      </c>
      <c r="AI215" s="1">
        <f t="shared" si="97"/>
        <v>0</v>
      </c>
      <c r="AJ215" s="1"/>
    </row>
    <row r="216" spans="1:16384" s="2" customFormat="1" ht="14.25" customHeight="1" x14ac:dyDescent="0.25">
      <c r="A216" s="34">
        <v>0</v>
      </c>
      <c r="B216" s="34">
        <v>1</v>
      </c>
      <c r="C216" s="34">
        <v>6</v>
      </c>
      <c r="D216" s="35" t="s">
        <v>92</v>
      </c>
      <c r="E216" s="35" t="s">
        <v>168</v>
      </c>
      <c r="F216" s="35" t="s">
        <v>287</v>
      </c>
      <c r="G216" s="35" t="s">
        <v>201</v>
      </c>
      <c r="H216" s="35" t="s">
        <v>355</v>
      </c>
      <c r="I216" s="34" t="s">
        <v>441</v>
      </c>
      <c r="J216" s="34">
        <v>2</v>
      </c>
      <c r="K216" s="36" t="s">
        <v>966</v>
      </c>
      <c r="L216" s="36" t="s">
        <v>39</v>
      </c>
      <c r="M216" s="37" t="s">
        <v>39</v>
      </c>
      <c r="N216" s="37" t="s">
        <v>1734</v>
      </c>
      <c r="O216" s="38">
        <v>1</v>
      </c>
      <c r="P216" s="38">
        <v>1</v>
      </c>
      <c r="Q216" s="35"/>
      <c r="R216" s="1"/>
      <c r="S216" s="1">
        <f t="shared" si="98"/>
        <v>0</v>
      </c>
      <c r="T216" s="1">
        <f t="shared" si="99"/>
        <v>1</v>
      </c>
      <c r="U216" s="1">
        <f t="shared" si="100"/>
        <v>0</v>
      </c>
      <c r="V216" s="1">
        <f t="shared" si="101"/>
        <v>0</v>
      </c>
      <c r="W216" s="1">
        <f t="shared" si="102"/>
        <v>0</v>
      </c>
      <c r="X216" s="1">
        <f t="shared" si="103"/>
        <v>0</v>
      </c>
      <c r="Y216" s="1">
        <f t="shared" si="104"/>
        <v>0</v>
      </c>
      <c r="Z216" s="1">
        <f t="shared" si="105"/>
        <v>0</v>
      </c>
      <c r="AA216" s="1">
        <f t="shared" si="106"/>
        <v>0</v>
      </c>
      <c r="AB216" s="1">
        <f t="shared" si="107"/>
        <v>0</v>
      </c>
      <c r="AC216" s="1"/>
      <c r="AD216" s="1">
        <f t="shared" si="108"/>
        <v>1</v>
      </c>
      <c r="AE216" s="1">
        <f t="shared" si="109"/>
        <v>0</v>
      </c>
      <c r="AF216" s="1">
        <f t="shared" si="94"/>
        <v>1</v>
      </c>
      <c r="AG216" s="1">
        <f t="shared" si="95"/>
        <v>0</v>
      </c>
      <c r="AH216" s="1">
        <f t="shared" si="96"/>
        <v>1</v>
      </c>
      <c r="AI216" s="1">
        <f t="shared" si="97"/>
        <v>0</v>
      </c>
      <c r="AJ216" s="1"/>
    </row>
    <row r="217" spans="1:16384" s="2" customFormat="1" ht="14.25" customHeight="1" x14ac:dyDescent="0.25">
      <c r="A217" s="47">
        <v>0</v>
      </c>
      <c r="B217" s="47">
        <v>1</v>
      </c>
      <c r="C217" s="47">
        <v>6</v>
      </c>
      <c r="D217" s="48" t="s">
        <v>1283</v>
      </c>
      <c r="E217" s="48" t="s">
        <v>168</v>
      </c>
      <c r="F217" s="48" t="s">
        <v>1154</v>
      </c>
      <c r="G217" s="48" t="s">
        <v>1349</v>
      </c>
      <c r="H217" s="48" t="s">
        <v>355</v>
      </c>
      <c r="I217" s="47" t="s">
        <v>1155</v>
      </c>
      <c r="J217" s="47">
        <v>99</v>
      </c>
      <c r="K217" s="49" t="s">
        <v>706</v>
      </c>
      <c r="L217" s="49">
        <v>45</v>
      </c>
      <c r="M217" s="50" t="s">
        <v>39</v>
      </c>
      <c r="N217" s="50" t="s">
        <v>1742</v>
      </c>
      <c r="O217" s="51"/>
      <c r="P217" s="51"/>
      <c r="Q217" s="48"/>
      <c r="R217" s="1"/>
      <c r="S217" s="1">
        <f t="shared" si="98"/>
        <v>0</v>
      </c>
      <c r="T217" s="1">
        <f t="shared" si="99"/>
        <v>0</v>
      </c>
      <c r="U217" s="1">
        <f t="shared" si="100"/>
        <v>0</v>
      </c>
      <c r="V217" s="1">
        <f t="shared" si="101"/>
        <v>0</v>
      </c>
      <c r="W217" s="1">
        <f t="shared" si="102"/>
        <v>0</v>
      </c>
      <c r="X217" s="1">
        <f t="shared" si="103"/>
        <v>0</v>
      </c>
      <c r="Y217" s="1">
        <f t="shared" si="104"/>
        <v>0</v>
      </c>
      <c r="Z217" s="1">
        <f t="shared" si="105"/>
        <v>0</v>
      </c>
      <c r="AA217" s="1">
        <f t="shared" si="106"/>
        <v>0</v>
      </c>
      <c r="AB217" s="1">
        <f t="shared" si="107"/>
        <v>0</v>
      </c>
      <c r="AC217" s="1"/>
      <c r="AD217" s="1">
        <f t="shared" si="108"/>
        <v>0</v>
      </c>
      <c r="AE217" s="1">
        <f t="shared" si="109"/>
        <v>0</v>
      </c>
      <c r="AF217" s="1">
        <f t="shared" si="94"/>
        <v>0</v>
      </c>
      <c r="AG217" s="1">
        <f t="shared" si="95"/>
        <v>0</v>
      </c>
      <c r="AH217" s="1">
        <f t="shared" si="96"/>
        <v>0</v>
      </c>
      <c r="AI217" s="1">
        <f t="shared" si="97"/>
        <v>1</v>
      </c>
      <c r="AJ217" s="1"/>
    </row>
    <row r="218" spans="1:16384" s="2" customFormat="1" ht="14.25" customHeight="1" x14ac:dyDescent="0.25">
      <c r="A218" s="41">
        <v>0</v>
      </c>
      <c r="B218" s="41">
        <v>1</v>
      </c>
      <c r="C218" s="41">
        <v>6</v>
      </c>
      <c r="D218" s="57" t="s">
        <v>1798</v>
      </c>
      <c r="E218" s="42" t="s">
        <v>168</v>
      </c>
      <c r="F218" s="42" t="s">
        <v>1773</v>
      </c>
      <c r="G218" s="42"/>
      <c r="H218" s="42" t="s">
        <v>355</v>
      </c>
      <c r="I218" s="41" t="s">
        <v>1774</v>
      </c>
      <c r="J218" s="41"/>
      <c r="K218" s="43" t="s">
        <v>707</v>
      </c>
      <c r="L218" s="43"/>
      <c r="M218" s="44"/>
      <c r="N218" s="45"/>
      <c r="O218" s="46"/>
      <c r="P218" s="46">
        <v>1</v>
      </c>
      <c r="Q218" s="42"/>
      <c r="R218" s="1"/>
      <c r="S218" s="1">
        <f t="shared" si="98"/>
        <v>0</v>
      </c>
      <c r="T218" s="1">
        <f t="shared" si="99"/>
        <v>0</v>
      </c>
      <c r="U218" s="1">
        <f t="shared" si="100"/>
        <v>0</v>
      </c>
      <c r="V218" s="1">
        <f t="shared" si="101"/>
        <v>0</v>
      </c>
      <c r="W218" s="1">
        <f t="shared" si="102"/>
        <v>0</v>
      </c>
      <c r="X218" s="1">
        <f t="shared" si="103"/>
        <v>0</v>
      </c>
      <c r="Y218" s="1">
        <f t="shared" si="104"/>
        <v>0</v>
      </c>
      <c r="Z218" s="1">
        <f t="shared" si="105"/>
        <v>0</v>
      </c>
      <c r="AA218" s="1">
        <f t="shared" si="106"/>
        <v>0</v>
      </c>
      <c r="AB218" s="1">
        <f t="shared" si="107"/>
        <v>0</v>
      </c>
      <c r="AC218" s="1"/>
      <c r="AD218" s="1">
        <f t="shared" si="108"/>
        <v>0</v>
      </c>
      <c r="AE218" s="1">
        <f t="shared" si="109"/>
        <v>0</v>
      </c>
      <c r="AF218" s="1">
        <f t="shared" si="94"/>
        <v>0</v>
      </c>
      <c r="AG218" s="1">
        <f t="shared" si="95"/>
        <v>0</v>
      </c>
      <c r="AH218" s="1">
        <f t="shared" si="96"/>
        <v>1</v>
      </c>
      <c r="AI218" s="1">
        <f t="shared" si="97"/>
        <v>0</v>
      </c>
      <c r="AJ218" s="1"/>
    </row>
    <row r="219" spans="1:16384" s="2" customFormat="1" ht="14.25" customHeight="1" x14ac:dyDescent="0.25">
      <c r="A219" s="34">
        <v>0</v>
      </c>
      <c r="B219" s="34">
        <v>1</v>
      </c>
      <c r="C219" s="34">
        <v>6</v>
      </c>
      <c r="D219" s="35" t="s">
        <v>1018</v>
      </c>
      <c r="E219" s="35" t="s">
        <v>168</v>
      </c>
      <c r="F219" s="35" t="s">
        <v>1019</v>
      </c>
      <c r="G219" s="35" t="s">
        <v>1107</v>
      </c>
      <c r="H219" s="35" t="s">
        <v>355</v>
      </c>
      <c r="I219" s="34" t="s">
        <v>1020</v>
      </c>
      <c r="J219" s="34">
        <v>99</v>
      </c>
      <c r="K219" s="36" t="s">
        <v>968</v>
      </c>
      <c r="L219" s="36" t="s">
        <v>39</v>
      </c>
      <c r="M219" s="37" t="s">
        <v>39</v>
      </c>
      <c r="N219" s="37" t="s">
        <v>1734</v>
      </c>
      <c r="O219" s="38">
        <v>1</v>
      </c>
      <c r="P219" s="38">
        <v>1</v>
      </c>
      <c r="Q219" s="35"/>
      <c r="R219" s="1"/>
      <c r="S219" s="1">
        <f t="shared" si="98"/>
        <v>0</v>
      </c>
      <c r="T219" s="1">
        <f t="shared" si="99"/>
        <v>0</v>
      </c>
      <c r="U219" s="1">
        <f t="shared" si="100"/>
        <v>0</v>
      </c>
      <c r="V219" s="1">
        <f t="shared" si="101"/>
        <v>0</v>
      </c>
      <c r="W219" s="1">
        <f t="shared" si="102"/>
        <v>0</v>
      </c>
      <c r="X219" s="1">
        <f t="shared" si="103"/>
        <v>0</v>
      </c>
      <c r="Y219" s="1">
        <f t="shared" si="104"/>
        <v>0</v>
      </c>
      <c r="Z219" s="1">
        <f t="shared" si="105"/>
        <v>0</v>
      </c>
      <c r="AA219" s="1">
        <f t="shared" si="106"/>
        <v>0</v>
      </c>
      <c r="AB219" s="1">
        <f t="shared" si="107"/>
        <v>0</v>
      </c>
      <c r="AC219" s="1"/>
      <c r="AD219" s="1">
        <f t="shared" si="108"/>
        <v>1</v>
      </c>
      <c r="AE219" s="1">
        <f t="shared" si="109"/>
        <v>0</v>
      </c>
      <c r="AF219" s="1">
        <f t="shared" si="94"/>
        <v>1</v>
      </c>
      <c r="AG219" s="1">
        <f t="shared" si="95"/>
        <v>0</v>
      </c>
      <c r="AH219" s="1">
        <f t="shared" si="96"/>
        <v>1</v>
      </c>
      <c r="AI219" s="1">
        <f t="shared" si="97"/>
        <v>0</v>
      </c>
      <c r="AJ219" s="1"/>
    </row>
    <row r="220" spans="1:16384" s="2" customFormat="1" ht="14.25" customHeight="1" x14ac:dyDescent="0.25">
      <c r="A220" s="47">
        <v>0</v>
      </c>
      <c r="B220" s="47">
        <v>1</v>
      </c>
      <c r="C220" s="47">
        <v>6</v>
      </c>
      <c r="D220" s="48" t="s">
        <v>94</v>
      </c>
      <c r="E220" s="48" t="s">
        <v>170</v>
      </c>
      <c r="F220" s="48" t="s">
        <v>290</v>
      </c>
      <c r="G220" s="48" t="s">
        <v>195</v>
      </c>
      <c r="H220" s="48" t="s">
        <v>355</v>
      </c>
      <c r="I220" s="47" t="s">
        <v>443</v>
      </c>
      <c r="J220" s="47">
        <v>9</v>
      </c>
      <c r="K220" s="49" t="s">
        <v>706</v>
      </c>
      <c r="L220" s="49" t="s">
        <v>698</v>
      </c>
      <c r="M220" s="50" t="s">
        <v>710</v>
      </c>
      <c r="N220" s="50" t="s">
        <v>1746</v>
      </c>
      <c r="O220" s="51"/>
      <c r="P220" s="51"/>
      <c r="Q220" s="48"/>
      <c r="R220" s="1"/>
      <c r="S220" s="1">
        <f t="shared" si="98"/>
        <v>0</v>
      </c>
      <c r="T220" s="1">
        <f t="shared" si="99"/>
        <v>0</v>
      </c>
      <c r="U220" s="1">
        <f t="shared" si="100"/>
        <v>0</v>
      </c>
      <c r="V220" s="1">
        <f t="shared" si="101"/>
        <v>0</v>
      </c>
      <c r="W220" s="1">
        <f t="shared" si="102"/>
        <v>0</v>
      </c>
      <c r="X220" s="1">
        <f t="shared" si="103"/>
        <v>0</v>
      </c>
      <c r="Y220" s="1">
        <f t="shared" si="104"/>
        <v>0</v>
      </c>
      <c r="Z220" s="1">
        <f t="shared" si="105"/>
        <v>0</v>
      </c>
      <c r="AA220" s="1">
        <f t="shared" si="106"/>
        <v>1</v>
      </c>
      <c r="AB220" s="1">
        <f t="shared" si="107"/>
        <v>0</v>
      </c>
      <c r="AC220" s="1"/>
      <c r="AD220" s="1">
        <f t="shared" si="108"/>
        <v>0</v>
      </c>
      <c r="AE220" s="1">
        <f t="shared" si="109"/>
        <v>0</v>
      </c>
      <c r="AF220" s="1">
        <f t="shared" si="94"/>
        <v>0</v>
      </c>
      <c r="AG220" s="1">
        <f t="shared" si="95"/>
        <v>0</v>
      </c>
      <c r="AH220" s="1">
        <f t="shared" si="96"/>
        <v>0</v>
      </c>
      <c r="AI220" s="1">
        <f t="shared" si="97"/>
        <v>1</v>
      </c>
      <c r="AJ220" s="1"/>
    </row>
    <row r="221" spans="1:16384" s="2" customFormat="1" ht="14.25" customHeight="1" x14ac:dyDescent="0.25">
      <c r="A221" s="41">
        <v>0</v>
      </c>
      <c r="B221" s="41">
        <v>1</v>
      </c>
      <c r="C221" s="41">
        <v>6</v>
      </c>
      <c r="D221" s="57" t="s">
        <v>1616</v>
      </c>
      <c r="E221" s="42" t="s">
        <v>1617</v>
      </c>
      <c r="F221" s="42" t="s">
        <v>1618</v>
      </c>
      <c r="G221" s="42" t="s">
        <v>193</v>
      </c>
      <c r="H221" s="42" t="s">
        <v>355</v>
      </c>
      <c r="I221" s="41" t="s">
        <v>1619</v>
      </c>
      <c r="J221" s="41">
        <v>10</v>
      </c>
      <c r="K221" s="43" t="s">
        <v>960</v>
      </c>
      <c r="L221" s="43" t="s">
        <v>690</v>
      </c>
      <c r="M221" s="44" t="s">
        <v>1620</v>
      </c>
      <c r="N221" s="45"/>
      <c r="O221" s="46"/>
      <c r="P221" s="46">
        <v>1</v>
      </c>
      <c r="Q221" s="42"/>
      <c r="R221" s="1"/>
      <c r="S221" s="1">
        <f t="shared" si="98"/>
        <v>0</v>
      </c>
      <c r="T221" s="1">
        <f t="shared" si="99"/>
        <v>0</v>
      </c>
      <c r="U221" s="1">
        <f t="shared" si="100"/>
        <v>0</v>
      </c>
      <c r="V221" s="1">
        <f t="shared" si="101"/>
        <v>0</v>
      </c>
      <c r="W221" s="1">
        <f t="shared" si="102"/>
        <v>0</v>
      </c>
      <c r="X221" s="1">
        <f t="shared" si="103"/>
        <v>0</v>
      </c>
      <c r="Y221" s="1">
        <f t="shared" si="104"/>
        <v>0</v>
      </c>
      <c r="Z221" s="1">
        <f t="shared" si="105"/>
        <v>0</v>
      </c>
      <c r="AA221" s="1">
        <f t="shared" si="106"/>
        <v>0</v>
      </c>
      <c r="AB221" s="1">
        <f t="shared" si="107"/>
        <v>1</v>
      </c>
      <c r="AC221" s="1"/>
      <c r="AD221" s="1">
        <f t="shared" si="108"/>
        <v>0</v>
      </c>
      <c r="AE221" s="1">
        <f t="shared" si="109"/>
        <v>0</v>
      </c>
      <c r="AF221" s="1">
        <f t="shared" si="94"/>
        <v>0</v>
      </c>
      <c r="AG221" s="1">
        <f t="shared" si="95"/>
        <v>0</v>
      </c>
      <c r="AH221" s="1">
        <f t="shared" si="96"/>
        <v>1</v>
      </c>
      <c r="AI221" s="1">
        <f t="shared" si="97"/>
        <v>0</v>
      </c>
      <c r="AJ221" s="1"/>
    </row>
    <row r="222" spans="1:16384" s="2" customFormat="1" ht="14.25" customHeight="1" x14ac:dyDescent="0.25">
      <c r="A222" s="47">
        <v>0</v>
      </c>
      <c r="B222" s="47">
        <v>1</v>
      </c>
      <c r="C222" s="47">
        <v>6</v>
      </c>
      <c r="D222" s="48" t="s">
        <v>95</v>
      </c>
      <c r="E222" s="48" t="s">
        <v>166</v>
      </c>
      <c r="F222" s="48" t="s">
        <v>291</v>
      </c>
      <c r="G222" s="48" t="s">
        <v>292</v>
      </c>
      <c r="H222" s="48" t="s">
        <v>355</v>
      </c>
      <c r="I222" s="47" t="s">
        <v>444</v>
      </c>
      <c r="J222" s="47">
        <v>7</v>
      </c>
      <c r="K222" s="49" t="s">
        <v>706</v>
      </c>
      <c r="L222" s="49" t="s">
        <v>698</v>
      </c>
      <c r="M222" s="50" t="s">
        <v>702</v>
      </c>
      <c r="N222" s="50" t="s">
        <v>1741</v>
      </c>
      <c r="O222" s="51"/>
      <c r="P222" s="51"/>
      <c r="Q222" s="48"/>
      <c r="R222" s="1"/>
      <c r="S222" s="1">
        <f t="shared" si="98"/>
        <v>0</v>
      </c>
      <c r="T222" s="1">
        <f t="shared" si="99"/>
        <v>0</v>
      </c>
      <c r="U222" s="1">
        <f t="shared" si="100"/>
        <v>0</v>
      </c>
      <c r="V222" s="1">
        <f t="shared" si="101"/>
        <v>0</v>
      </c>
      <c r="W222" s="1">
        <f t="shared" si="102"/>
        <v>0</v>
      </c>
      <c r="X222" s="1">
        <f t="shared" si="103"/>
        <v>0</v>
      </c>
      <c r="Y222" s="1">
        <f t="shared" si="104"/>
        <v>1</v>
      </c>
      <c r="Z222" s="1">
        <f t="shared" si="105"/>
        <v>0</v>
      </c>
      <c r="AA222" s="1">
        <f t="shared" si="106"/>
        <v>0</v>
      </c>
      <c r="AB222" s="1">
        <f t="shared" si="107"/>
        <v>0</v>
      </c>
      <c r="AC222" s="1"/>
      <c r="AD222" s="1">
        <f t="shared" si="108"/>
        <v>0</v>
      </c>
      <c r="AE222" s="1">
        <f t="shared" si="109"/>
        <v>0</v>
      </c>
      <c r="AF222" s="1">
        <f t="shared" si="94"/>
        <v>0</v>
      </c>
      <c r="AG222" s="1">
        <f t="shared" si="95"/>
        <v>0</v>
      </c>
      <c r="AH222" s="1">
        <f t="shared" si="96"/>
        <v>0</v>
      </c>
      <c r="AI222" s="1">
        <f t="shared" si="97"/>
        <v>1</v>
      </c>
      <c r="AJ222" s="1"/>
    </row>
    <row r="223" spans="1:16384" s="2" customFormat="1" ht="14.25" customHeight="1" x14ac:dyDescent="0.25">
      <c r="A223" s="34">
        <v>0</v>
      </c>
      <c r="B223" s="34">
        <v>1</v>
      </c>
      <c r="C223" s="34">
        <v>6</v>
      </c>
      <c r="D223" s="35" t="s">
        <v>1089</v>
      </c>
      <c r="E223" s="35" t="s">
        <v>168</v>
      </c>
      <c r="F223" s="35" t="s">
        <v>663</v>
      </c>
      <c r="G223" s="35" t="s">
        <v>180</v>
      </c>
      <c r="H223" s="35" t="s">
        <v>355</v>
      </c>
      <c r="I223" s="34" t="s">
        <v>382</v>
      </c>
      <c r="J223" s="34">
        <v>10</v>
      </c>
      <c r="K223" s="36" t="s">
        <v>726</v>
      </c>
      <c r="L223" s="36" t="s">
        <v>708</v>
      </c>
      <c r="M223" s="37" t="s">
        <v>711</v>
      </c>
      <c r="N223" s="37" t="s">
        <v>1757</v>
      </c>
      <c r="O223" s="38">
        <v>1</v>
      </c>
      <c r="P223" s="38"/>
      <c r="Q223" s="35"/>
      <c r="R223" s="1"/>
      <c r="S223" s="1">
        <f t="shared" si="98"/>
        <v>0</v>
      </c>
      <c r="T223" s="1">
        <f t="shared" si="99"/>
        <v>0</v>
      </c>
      <c r="U223" s="1">
        <f t="shared" si="100"/>
        <v>0</v>
      </c>
      <c r="V223" s="1">
        <f t="shared" si="101"/>
        <v>0</v>
      </c>
      <c r="W223" s="1">
        <f t="shared" si="102"/>
        <v>0</v>
      </c>
      <c r="X223" s="1">
        <f t="shared" si="103"/>
        <v>0</v>
      </c>
      <c r="Y223" s="1">
        <f t="shared" si="104"/>
        <v>0</v>
      </c>
      <c r="Z223" s="1">
        <f t="shared" si="105"/>
        <v>0</v>
      </c>
      <c r="AA223" s="1">
        <f t="shared" si="106"/>
        <v>0</v>
      </c>
      <c r="AB223" s="1">
        <f t="shared" si="107"/>
        <v>1</v>
      </c>
      <c r="AC223" s="1"/>
      <c r="AD223" s="1">
        <f t="shared" si="108"/>
        <v>0</v>
      </c>
      <c r="AE223" s="1">
        <f t="shared" si="109"/>
        <v>1</v>
      </c>
      <c r="AF223" s="1">
        <f t="shared" si="94"/>
        <v>0</v>
      </c>
      <c r="AG223" s="1">
        <f t="shared" si="95"/>
        <v>1</v>
      </c>
      <c r="AH223" s="1">
        <f t="shared" si="96"/>
        <v>0</v>
      </c>
      <c r="AI223" s="1">
        <f t="shared" si="97"/>
        <v>1</v>
      </c>
      <c r="AJ223" s="1"/>
    </row>
    <row r="224" spans="1:16384" s="2" customFormat="1" ht="14.25" customHeight="1" x14ac:dyDescent="0.25">
      <c r="A224" s="34">
        <v>0</v>
      </c>
      <c r="B224" s="34">
        <v>1</v>
      </c>
      <c r="C224" s="34">
        <v>6</v>
      </c>
      <c r="D224" s="35" t="s">
        <v>1236</v>
      </c>
      <c r="E224" s="35" t="s">
        <v>166</v>
      </c>
      <c r="F224" s="35" t="s">
        <v>1237</v>
      </c>
      <c r="G224" s="35" t="s">
        <v>1239</v>
      </c>
      <c r="H224" s="35" t="s">
        <v>355</v>
      </c>
      <c r="I224" s="34" t="s">
        <v>1238</v>
      </c>
      <c r="J224" s="34">
        <v>99</v>
      </c>
      <c r="K224" s="36" t="s">
        <v>726</v>
      </c>
      <c r="L224" s="36" t="s">
        <v>697</v>
      </c>
      <c r="M224" s="37" t="s">
        <v>1408</v>
      </c>
      <c r="N224" s="37" t="s">
        <v>1750</v>
      </c>
      <c r="O224" s="38">
        <v>1</v>
      </c>
      <c r="P224" s="38"/>
      <c r="Q224" s="35"/>
      <c r="R224" s="34"/>
      <c r="S224" s="34">
        <f t="shared" si="98"/>
        <v>0</v>
      </c>
      <c r="T224" s="34">
        <f t="shared" si="99"/>
        <v>0</v>
      </c>
      <c r="U224" s="35">
        <f t="shared" si="100"/>
        <v>0</v>
      </c>
      <c r="V224" s="35">
        <f t="shared" si="101"/>
        <v>0</v>
      </c>
      <c r="W224" s="35">
        <f t="shared" si="102"/>
        <v>0</v>
      </c>
      <c r="X224" s="35">
        <f t="shared" si="103"/>
        <v>0</v>
      </c>
      <c r="Y224" s="35">
        <f t="shared" si="104"/>
        <v>0</v>
      </c>
      <c r="Z224" s="34">
        <f t="shared" si="105"/>
        <v>0</v>
      </c>
      <c r="AA224" s="34">
        <f t="shared" si="106"/>
        <v>0</v>
      </c>
      <c r="AB224" s="36">
        <f t="shared" si="107"/>
        <v>0</v>
      </c>
      <c r="AC224" s="36"/>
      <c r="AD224" s="37">
        <f t="shared" si="108"/>
        <v>0</v>
      </c>
      <c r="AE224" s="37">
        <f t="shared" si="109"/>
        <v>1</v>
      </c>
      <c r="AF224" s="38">
        <f t="shared" si="94"/>
        <v>0</v>
      </c>
      <c r="AG224" s="38">
        <f t="shared" si="95"/>
        <v>1</v>
      </c>
      <c r="AH224" s="39">
        <f t="shared" si="96"/>
        <v>0</v>
      </c>
      <c r="AI224" s="34">
        <f t="shared" si="97"/>
        <v>1</v>
      </c>
      <c r="AJ224" s="34"/>
      <c r="AK224" s="34"/>
      <c r="AL224" s="35"/>
      <c r="AM224" s="35"/>
      <c r="AN224" s="35"/>
      <c r="AO224" s="35"/>
      <c r="AP224" s="35"/>
      <c r="AQ224" s="34"/>
      <c r="AR224" s="34"/>
      <c r="AS224" s="36"/>
      <c r="AT224" s="36"/>
      <c r="AU224" s="37"/>
      <c r="AV224" s="37"/>
      <c r="AW224" s="38"/>
      <c r="AX224" s="38"/>
      <c r="AY224" s="39"/>
      <c r="AZ224" s="34"/>
      <c r="BA224" s="34"/>
      <c r="BB224" s="34"/>
      <c r="BC224" s="35"/>
      <c r="BD224" s="35"/>
      <c r="BE224" s="35"/>
      <c r="BF224" s="35"/>
      <c r="BG224" s="35"/>
      <c r="BH224" s="34"/>
      <c r="BI224" s="34"/>
      <c r="BJ224" s="36"/>
      <c r="BK224" s="36"/>
      <c r="BL224" s="37"/>
      <c r="BM224" s="37"/>
      <c r="BN224" s="38"/>
      <c r="BO224" s="38"/>
      <c r="BP224" s="39"/>
      <c r="BQ224" s="34"/>
      <c r="BR224" s="34"/>
      <c r="BS224" s="34"/>
      <c r="BT224" s="35"/>
      <c r="BU224" s="35"/>
      <c r="BV224" s="35"/>
      <c r="BW224" s="35"/>
      <c r="BX224" s="35"/>
      <c r="BY224" s="34"/>
      <c r="BZ224" s="34"/>
      <c r="CA224" s="36"/>
      <c r="CB224" s="36"/>
      <c r="CC224" s="37"/>
      <c r="CD224" s="37"/>
      <c r="CE224" s="38"/>
      <c r="CF224" s="38"/>
      <c r="CG224" s="39"/>
      <c r="CH224" s="34"/>
      <c r="CI224" s="34"/>
      <c r="CJ224" s="34"/>
      <c r="CK224" s="35"/>
      <c r="CL224" s="35"/>
      <c r="CM224" s="35"/>
      <c r="CN224" s="35"/>
      <c r="CO224" s="35"/>
      <c r="CP224" s="34"/>
      <c r="CQ224" s="34"/>
      <c r="CR224" s="36"/>
      <c r="CS224" s="36"/>
      <c r="CT224" s="37"/>
      <c r="CU224" s="37"/>
      <c r="CV224" s="38"/>
      <c r="CW224" s="38"/>
      <c r="CX224" s="39"/>
      <c r="CY224" s="34"/>
      <c r="CZ224" s="34"/>
      <c r="DA224" s="34"/>
      <c r="DB224" s="35"/>
      <c r="DC224" s="35"/>
      <c r="DD224" s="35"/>
      <c r="DE224" s="35"/>
      <c r="DF224" s="35"/>
      <c r="DG224" s="34"/>
      <c r="DH224" s="34"/>
      <c r="DI224" s="36"/>
      <c r="DJ224" s="36"/>
      <c r="DK224" s="37"/>
      <c r="DL224" s="37"/>
      <c r="DM224" s="38"/>
      <c r="DN224" s="38"/>
      <c r="DO224" s="39"/>
      <c r="DP224" s="34"/>
      <c r="DQ224" s="34"/>
      <c r="DR224" s="34"/>
      <c r="DS224" s="35"/>
      <c r="DT224" s="35"/>
      <c r="DU224" s="35"/>
      <c r="DV224" s="35"/>
      <c r="DW224" s="35"/>
      <c r="DX224" s="34"/>
      <c r="DY224" s="34"/>
      <c r="DZ224" s="36"/>
      <c r="EA224" s="36"/>
      <c r="EB224" s="37"/>
      <c r="EC224" s="37"/>
      <c r="ED224" s="38"/>
      <c r="EE224" s="38"/>
      <c r="EF224" s="39"/>
      <c r="EG224" s="34"/>
      <c r="EH224" s="34"/>
      <c r="EI224" s="34"/>
      <c r="EJ224" s="35"/>
      <c r="EK224" s="35"/>
      <c r="EL224" s="35"/>
      <c r="EM224" s="35"/>
      <c r="EN224" s="35"/>
      <c r="EO224" s="34"/>
      <c r="EP224" s="34"/>
      <c r="EQ224" s="36"/>
      <c r="ER224" s="36"/>
      <c r="ES224" s="37"/>
      <c r="ET224" s="37"/>
      <c r="EU224" s="38"/>
      <c r="EV224" s="38"/>
      <c r="EW224" s="39"/>
      <c r="EX224" s="34"/>
      <c r="EY224" s="34"/>
      <c r="EZ224" s="34"/>
      <c r="FA224" s="35"/>
      <c r="FB224" s="35"/>
      <c r="FC224" s="35"/>
      <c r="FD224" s="35"/>
      <c r="FE224" s="35"/>
      <c r="FF224" s="34"/>
      <c r="FG224" s="34"/>
      <c r="FH224" s="36"/>
      <c r="FI224" s="36"/>
      <c r="FJ224" s="37"/>
      <c r="FK224" s="37"/>
      <c r="FL224" s="38"/>
      <c r="FM224" s="38"/>
      <c r="FN224" s="39"/>
      <c r="FO224" s="34"/>
      <c r="FP224" s="34"/>
      <c r="FQ224" s="34"/>
      <c r="FR224" s="35"/>
      <c r="FS224" s="35"/>
      <c r="FT224" s="35"/>
      <c r="FU224" s="35"/>
      <c r="FV224" s="35"/>
      <c r="FW224" s="34"/>
      <c r="FX224" s="34"/>
      <c r="FY224" s="36"/>
      <c r="FZ224" s="36"/>
      <c r="GA224" s="37"/>
      <c r="GB224" s="37"/>
      <c r="GC224" s="38"/>
      <c r="GD224" s="38"/>
      <c r="GE224" s="39"/>
      <c r="GF224" s="34"/>
      <c r="GG224" s="34"/>
      <c r="GH224" s="34"/>
      <c r="GI224" s="35"/>
      <c r="GJ224" s="35"/>
      <c r="GK224" s="35"/>
      <c r="GL224" s="35"/>
      <c r="GM224" s="35"/>
      <c r="GN224" s="34"/>
      <c r="GO224" s="34"/>
      <c r="GP224" s="36"/>
      <c r="GQ224" s="36"/>
      <c r="GR224" s="37"/>
      <c r="GS224" s="37"/>
      <c r="GT224" s="38"/>
      <c r="GU224" s="38"/>
      <c r="GV224" s="39"/>
      <c r="GW224" s="34"/>
      <c r="GX224" s="34"/>
      <c r="GY224" s="34"/>
      <c r="GZ224" s="35"/>
      <c r="HA224" s="35"/>
      <c r="HB224" s="35"/>
      <c r="HC224" s="35"/>
      <c r="HD224" s="35"/>
      <c r="HE224" s="34"/>
      <c r="HF224" s="34"/>
      <c r="HG224" s="36"/>
      <c r="HH224" s="36"/>
      <c r="HI224" s="37"/>
      <c r="HJ224" s="37"/>
      <c r="HK224" s="38"/>
      <c r="HL224" s="38"/>
      <c r="HM224" s="39"/>
      <c r="HN224" s="34"/>
      <c r="HO224" s="34"/>
      <c r="HP224" s="34"/>
      <c r="HQ224" s="35"/>
      <c r="HR224" s="35"/>
      <c r="HS224" s="35"/>
      <c r="HT224" s="35"/>
      <c r="HU224" s="35"/>
      <c r="HV224" s="34"/>
      <c r="HW224" s="34"/>
      <c r="HX224" s="36"/>
      <c r="HY224" s="36"/>
      <c r="HZ224" s="37"/>
      <c r="IA224" s="37"/>
      <c r="IB224" s="38"/>
      <c r="IC224" s="38"/>
      <c r="ID224" s="39"/>
      <c r="IE224" s="34"/>
      <c r="IF224" s="34"/>
      <c r="IG224" s="34"/>
      <c r="IH224" s="35"/>
      <c r="II224" s="35"/>
      <c r="IJ224" s="35"/>
      <c r="IK224" s="35"/>
      <c r="IL224" s="35"/>
      <c r="IM224" s="34"/>
      <c r="IN224" s="34"/>
      <c r="IO224" s="36"/>
      <c r="IP224" s="36"/>
      <c r="IQ224" s="37"/>
      <c r="IR224" s="37"/>
      <c r="IS224" s="38"/>
      <c r="IT224" s="38"/>
      <c r="IU224" s="39"/>
      <c r="IV224" s="34"/>
      <c r="IW224" s="34"/>
      <c r="IX224" s="34"/>
      <c r="IY224" s="35"/>
      <c r="IZ224" s="35"/>
      <c r="JA224" s="35"/>
      <c r="JB224" s="35"/>
      <c r="JC224" s="35"/>
      <c r="JD224" s="34"/>
      <c r="JE224" s="34"/>
      <c r="JF224" s="36"/>
      <c r="JG224" s="36"/>
      <c r="JH224" s="37"/>
      <c r="JI224" s="37"/>
      <c r="JJ224" s="38"/>
      <c r="JK224" s="38"/>
      <c r="JL224" s="39"/>
      <c r="JM224" s="34"/>
      <c r="JN224" s="34"/>
      <c r="JO224" s="34"/>
      <c r="JP224" s="35"/>
      <c r="JQ224" s="35"/>
      <c r="JR224" s="35"/>
      <c r="JS224" s="35"/>
      <c r="JT224" s="35"/>
      <c r="JU224" s="34"/>
      <c r="JV224" s="34"/>
      <c r="JW224" s="36"/>
      <c r="JX224" s="36"/>
      <c r="JY224" s="37"/>
      <c r="JZ224" s="37"/>
      <c r="KA224" s="38"/>
      <c r="KB224" s="38"/>
      <c r="KC224" s="39"/>
      <c r="KD224" s="34"/>
      <c r="KE224" s="34"/>
      <c r="KF224" s="34"/>
      <c r="KG224" s="35"/>
      <c r="KH224" s="35"/>
      <c r="KI224" s="35"/>
      <c r="KJ224" s="35"/>
      <c r="KK224" s="35"/>
      <c r="KL224" s="34"/>
      <c r="KM224" s="34"/>
      <c r="KN224" s="36"/>
      <c r="KO224" s="36"/>
      <c r="KP224" s="37"/>
      <c r="KQ224" s="37"/>
      <c r="KR224" s="38"/>
      <c r="KS224" s="38"/>
      <c r="KT224" s="39"/>
      <c r="KU224" s="34"/>
      <c r="KV224" s="34"/>
      <c r="KW224" s="34"/>
      <c r="KX224" s="35"/>
      <c r="KY224" s="35"/>
      <c r="KZ224" s="35"/>
      <c r="LA224" s="35"/>
      <c r="LB224" s="35"/>
      <c r="LC224" s="34"/>
      <c r="LD224" s="34"/>
      <c r="LE224" s="36"/>
      <c r="LF224" s="36"/>
      <c r="LG224" s="37"/>
      <c r="LH224" s="37"/>
      <c r="LI224" s="38"/>
      <c r="LJ224" s="38"/>
      <c r="LK224" s="39"/>
      <c r="LL224" s="34"/>
      <c r="LM224" s="34"/>
      <c r="LN224" s="34"/>
      <c r="LO224" s="35"/>
      <c r="LP224" s="35"/>
      <c r="LQ224" s="35"/>
      <c r="LR224" s="35"/>
      <c r="LS224" s="35"/>
      <c r="LT224" s="34"/>
      <c r="LU224" s="34"/>
      <c r="LV224" s="36"/>
      <c r="LW224" s="36"/>
      <c r="LX224" s="37"/>
      <c r="LY224" s="37"/>
      <c r="LZ224" s="38"/>
      <c r="MA224" s="38"/>
      <c r="MB224" s="39"/>
      <c r="MC224" s="34"/>
      <c r="MD224" s="34"/>
      <c r="ME224" s="34"/>
      <c r="MF224" s="35"/>
      <c r="MG224" s="35"/>
      <c r="MH224" s="35"/>
      <c r="MI224" s="35"/>
      <c r="MJ224" s="35"/>
      <c r="MK224" s="34"/>
      <c r="ML224" s="34"/>
      <c r="MM224" s="36"/>
      <c r="MN224" s="36"/>
      <c r="MO224" s="37"/>
      <c r="MP224" s="37"/>
      <c r="MQ224" s="38"/>
      <c r="MR224" s="38"/>
      <c r="MS224" s="39"/>
      <c r="MT224" s="34"/>
      <c r="MU224" s="34"/>
      <c r="MV224" s="34"/>
      <c r="MW224" s="35"/>
      <c r="MX224" s="35"/>
      <c r="MY224" s="35"/>
      <c r="MZ224" s="35"/>
      <c r="NA224" s="35"/>
      <c r="NB224" s="34"/>
      <c r="NC224" s="34"/>
      <c r="ND224" s="36"/>
      <c r="NE224" s="36"/>
      <c r="NF224" s="37"/>
      <c r="NG224" s="37"/>
      <c r="NH224" s="38"/>
      <c r="NI224" s="38"/>
      <c r="NJ224" s="39"/>
      <c r="NK224" s="34"/>
      <c r="NL224" s="34"/>
      <c r="NM224" s="34"/>
      <c r="NN224" s="35"/>
      <c r="NO224" s="35"/>
      <c r="NP224" s="35"/>
      <c r="NQ224" s="35"/>
      <c r="NR224" s="35"/>
      <c r="NS224" s="34"/>
      <c r="NT224" s="34"/>
      <c r="NU224" s="36"/>
      <c r="NV224" s="36"/>
      <c r="NW224" s="37"/>
      <c r="NX224" s="37"/>
      <c r="NY224" s="38"/>
      <c r="NZ224" s="38"/>
      <c r="OA224" s="39"/>
      <c r="OB224" s="34"/>
      <c r="OC224" s="34"/>
      <c r="OD224" s="34"/>
      <c r="OE224" s="35"/>
      <c r="OF224" s="35"/>
      <c r="OG224" s="35"/>
      <c r="OH224" s="35"/>
      <c r="OI224" s="35"/>
      <c r="OJ224" s="34"/>
      <c r="OK224" s="34"/>
      <c r="OL224" s="36"/>
      <c r="OM224" s="36"/>
      <c r="ON224" s="37"/>
      <c r="OO224" s="37"/>
      <c r="OP224" s="38"/>
      <c r="OQ224" s="38"/>
      <c r="OR224" s="39"/>
      <c r="OS224" s="34"/>
      <c r="OT224" s="34"/>
      <c r="OU224" s="34"/>
      <c r="OV224" s="35"/>
      <c r="OW224" s="35"/>
      <c r="OX224" s="35"/>
      <c r="OY224" s="35"/>
      <c r="OZ224" s="35"/>
      <c r="PA224" s="34"/>
      <c r="PB224" s="34"/>
      <c r="PC224" s="36"/>
      <c r="PD224" s="36"/>
      <c r="PE224" s="37"/>
      <c r="PF224" s="37"/>
      <c r="PG224" s="38"/>
      <c r="PH224" s="38"/>
      <c r="PI224" s="39"/>
      <c r="PJ224" s="34"/>
      <c r="PK224" s="34"/>
      <c r="PL224" s="34"/>
      <c r="PM224" s="35"/>
      <c r="PN224" s="35"/>
      <c r="PO224" s="35"/>
      <c r="PP224" s="35"/>
      <c r="PQ224" s="35"/>
      <c r="PR224" s="34"/>
      <c r="PS224" s="34"/>
      <c r="PT224" s="36"/>
      <c r="PU224" s="36"/>
      <c r="PV224" s="37"/>
      <c r="PW224" s="37"/>
      <c r="PX224" s="38"/>
      <c r="PY224" s="38"/>
      <c r="PZ224" s="39"/>
      <c r="QA224" s="34"/>
      <c r="QB224" s="34"/>
      <c r="QC224" s="34"/>
      <c r="QD224" s="35"/>
      <c r="QE224" s="35"/>
      <c r="QF224" s="35"/>
      <c r="QG224" s="35"/>
      <c r="QH224" s="35"/>
      <c r="QI224" s="34"/>
      <c r="QJ224" s="34"/>
      <c r="QK224" s="36"/>
      <c r="QL224" s="36"/>
      <c r="QM224" s="37"/>
      <c r="QN224" s="37"/>
      <c r="QO224" s="38"/>
      <c r="QP224" s="38"/>
      <c r="QQ224" s="39"/>
      <c r="QR224" s="34"/>
      <c r="QS224" s="34"/>
      <c r="QT224" s="34"/>
      <c r="QU224" s="35"/>
      <c r="QV224" s="35"/>
      <c r="QW224" s="35"/>
      <c r="QX224" s="35"/>
      <c r="QY224" s="35"/>
      <c r="QZ224" s="34"/>
      <c r="RA224" s="34"/>
      <c r="RB224" s="36"/>
      <c r="RC224" s="36"/>
      <c r="RD224" s="37"/>
      <c r="RE224" s="37"/>
      <c r="RF224" s="38"/>
      <c r="RG224" s="38"/>
      <c r="RH224" s="39"/>
      <c r="RI224" s="34"/>
      <c r="RJ224" s="34"/>
      <c r="RK224" s="34"/>
      <c r="RL224" s="35"/>
      <c r="RM224" s="35"/>
      <c r="RN224" s="35"/>
      <c r="RO224" s="35"/>
      <c r="RP224" s="35"/>
      <c r="RQ224" s="34"/>
      <c r="RR224" s="34"/>
      <c r="RS224" s="36"/>
      <c r="RT224" s="36"/>
      <c r="RU224" s="37"/>
      <c r="RV224" s="37"/>
      <c r="RW224" s="38"/>
      <c r="RX224" s="38"/>
      <c r="RY224" s="39"/>
      <c r="RZ224" s="34"/>
      <c r="SA224" s="34"/>
      <c r="SB224" s="34"/>
      <c r="SC224" s="35"/>
      <c r="SD224" s="35"/>
      <c r="SE224" s="35"/>
      <c r="SF224" s="35"/>
      <c r="SG224" s="35"/>
      <c r="SH224" s="34"/>
      <c r="SI224" s="34"/>
      <c r="SJ224" s="36"/>
      <c r="SK224" s="36"/>
      <c r="SL224" s="37"/>
      <c r="SM224" s="37"/>
      <c r="SN224" s="38"/>
      <c r="SO224" s="38"/>
      <c r="SP224" s="39"/>
      <c r="SQ224" s="34"/>
      <c r="SR224" s="34"/>
      <c r="SS224" s="34"/>
      <c r="ST224" s="35"/>
      <c r="SU224" s="35"/>
      <c r="SV224" s="35"/>
      <c r="SW224" s="35"/>
      <c r="SX224" s="35"/>
      <c r="SY224" s="34"/>
      <c r="SZ224" s="34"/>
      <c r="TA224" s="36"/>
      <c r="TB224" s="36"/>
      <c r="TC224" s="37"/>
      <c r="TD224" s="37"/>
      <c r="TE224" s="38"/>
      <c r="TF224" s="38"/>
      <c r="TG224" s="39"/>
      <c r="TH224" s="34"/>
      <c r="TI224" s="34"/>
      <c r="TJ224" s="34"/>
      <c r="TK224" s="35"/>
      <c r="TL224" s="35"/>
      <c r="TM224" s="35"/>
      <c r="TN224" s="35"/>
      <c r="TO224" s="35"/>
      <c r="TP224" s="34"/>
      <c r="TQ224" s="34"/>
      <c r="TR224" s="36"/>
      <c r="TS224" s="36"/>
      <c r="TT224" s="37"/>
      <c r="TU224" s="37"/>
      <c r="TV224" s="38"/>
      <c r="TW224" s="38"/>
      <c r="TX224" s="39"/>
      <c r="TY224" s="34"/>
      <c r="TZ224" s="34"/>
      <c r="UA224" s="34"/>
      <c r="UB224" s="35"/>
      <c r="UC224" s="35"/>
      <c r="UD224" s="35"/>
      <c r="UE224" s="35"/>
      <c r="UF224" s="35"/>
      <c r="UG224" s="34"/>
      <c r="UH224" s="34"/>
      <c r="UI224" s="36"/>
      <c r="UJ224" s="36"/>
      <c r="UK224" s="37"/>
      <c r="UL224" s="37"/>
      <c r="UM224" s="38"/>
      <c r="UN224" s="38"/>
      <c r="UO224" s="39"/>
      <c r="UP224" s="34"/>
      <c r="UQ224" s="34"/>
      <c r="UR224" s="34"/>
      <c r="US224" s="35"/>
      <c r="UT224" s="35"/>
      <c r="UU224" s="35"/>
      <c r="UV224" s="35"/>
      <c r="UW224" s="35"/>
      <c r="UX224" s="34"/>
      <c r="UY224" s="34"/>
      <c r="UZ224" s="36"/>
      <c r="VA224" s="36"/>
      <c r="VB224" s="37"/>
      <c r="VC224" s="37"/>
      <c r="VD224" s="38"/>
      <c r="VE224" s="38"/>
      <c r="VF224" s="39"/>
      <c r="VG224" s="34"/>
      <c r="VH224" s="34"/>
      <c r="VI224" s="34"/>
      <c r="VJ224" s="35"/>
      <c r="VK224" s="35"/>
      <c r="VL224" s="35"/>
      <c r="VM224" s="35"/>
      <c r="VN224" s="35"/>
      <c r="VO224" s="34"/>
      <c r="VP224" s="34"/>
      <c r="VQ224" s="36"/>
      <c r="VR224" s="36"/>
      <c r="VS224" s="37"/>
      <c r="VT224" s="37"/>
      <c r="VU224" s="38"/>
      <c r="VV224" s="38"/>
      <c r="VW224" s="39"/>
      <c r="VX224" s="34"/>
      <c r="VY224" s="34"/>
      <c r="VZ224" s="34"/>
      <c r="WA224" s="35"/>
      <c r="WB224" s="35"/>
      <c r="WC224" s="35"/>
      <c r="WD224" s="35"/>
      <c r="WE224" s="35"/>
      <c r="WF224" s="34"/>
      <c r="WG224" s="34"/>
      <c r="WH224" s="36"/>
      <c r="WI224" s="36"/>
      <c r="WJ224" s="37"/>
      <c r="WK224" s="37"/>
      <c r="WL224" s="38"/>
      <c r="WM224" s="38"/>
      <c r="WN224" s="39"/>
      <c r="WO224" s="34"/>
      <c r="WP224" s="34"/>
      <c r="WQ224" s="34"/>
      <c r="WR224" s="35"/>
      <c r="WS224" s="35"/>
      <c r="WT224" s="35"/>
      <c r="WU224" s="35"/>
      <c r="WV224" s="35"/>
      <c r="WW224" s="34"/>
      <c r="WX224" s="34"/>
      <c r="WY224" s="36"/>
      <c r="WZ224" s="36"/>
      <c r="XA224" s="37"/>
      <c r="XB224" s="37"/>
      <c r="XC224" s="38"/>
      <c r="XD224" s="38"/>
      <c r="XE224" s="39"/>
      <c r="XF224" s="34"/>
      <c r="XG224" s="34"/>
      <c r="XH224" s="34"/>
      <c r="XI224" s="35"/>
      <c r="XJ224" s="35"/>
      <c r="XK224" s="35"/>
      <c r="XL224" s="35"/>
      <c r="XM224" s="35"/>
      <c r="XN224" s="34"/>
      <c r="XO224" s="34"/>
      <c r="XP224" s="36"/>
      <c r="XQ224" s="36"/>
      <c r="XR224" s="37"/>
      <c r="XS224" s="37"/>
      <c r="XT224" s="38"/>
      <c r="XU224" s="38"/>
      <c r="XV224" s="39"/>
      <c r="XW224" s="34"/>
      <c r="XX224" s="34"/>
      <c r="XY224" s="34"/>
      <c r="XZ224" s="35"/>
      <c r="YA224" s="35"/>
      <c r="YB224" s="35"/>
      <c r="YC224" s="35"/>
      <c r="YD224" s="35"/>
      <c r="YE224" s="34"/>
      <c r="YF224" s="34"/>
      <c r="YG224" s="36"/>
      <c r="YH224" s="36"/>
      <c r="YI224" s="37"/>
      <c r="YJ224" s="37"/>
      <c r="YK224" s="38"/>
      <c r="YL224" s="38"/>
      <c r="YM224" s="39"/>
      <c r="YN224" s="34"/>
      <c r="YO224" s="34"/>
      <c r="YP224" s="34"/>
      <c r="YQ224" s="35"/>
      <c r="YR224" s="35"/>
      <c r="YS224" s="35"/>
      <c r="YT224" s="35"/>
      <c r="YU224" s="35"/>
      <c r="YV224" s="34"/>
      <c r="YW224" s="34"/>
      <c r="YX224" s="36"/>
      <c r="YY224" s="36"/>
      <c r="YZ224" s="37"/>
      <c r="ZA224" s="37"/>
      <c r="ZB224" s="38"/>
      <c r="ZC224" s="38"/>
      <c r="ZD224" s="39"/>
      <c r="ZE224" s="34"/>
      <c r="ZF224" s="34"/>
      <c r="ZG224" s="34"/>
      <c r="ZH224" s="35"/>
      <c r="ZI224" s="35"/>
      <c r="ZJ224" s="35"/>
      <c r="ZK224" s="35"/>
      <c r="ZL224" s="35"/>
      <c r="ZM224" s="34"/>
      <c r="ZN224" s="34"/>
      <c r="ZO224" s="36"/>
      <c r="ZP224" s="36"/>
      <c r="ZQ224" s="37"/>
      <c r="ZR224" s="37"/>
      <c r="ZS224" s="38"/>
      <c r="ZT224" s="38"/>
      <c r="ZU224" s="39"/>
      <c r="ZV224" s="34"/>
      <c r="ZW224" s="34"/>
      <c r="ZX224" s="34"/>
      <c r="ZY224" s="35"/>
      <c r="ZZ224" s="35"/>
      <c r="AAA224" s="35"/>
      <c r="AAB224" s="35"/>
      <c r="AAC224" s="35"/>
      <c r="AAD224" s="34"/>
      <c r="AAE224" s="34"/>
      <c r="AAF224" s="36"/>
      <c r="AAG224" s="36"/>
      <c r="AAH224" s="37"/>
      <c r="AAI224" s="37"/>
      <c r="AAJ224" s="38"/>
      <c r="AAK224" s="38"/>
      <c r="AAL224" s="39"/>
      <c r="AAM224" s="34"/>
      <c r="AAN224" s="34"/>
      <c r="AAO224" s="34"/>
      <c r="AAP224" s="35"/>
      <c r="AAQ224" s="35"/>
      <c r="AAR224" s="35"/>
      <c r="AAS224" s="35"/>
      <c r="AAT224" s="35"/>
      <c r="AAU224" s="34"/>
      <c r="AAV224" s="34"/>
      <c r="AAW224" s="36"/>
      <c r="AAX224" s="36"/>
      <c r="AAY224" s="37"/>
      <c r="AAZ224" s="37"/>
      <c r="ABA224" s="38"/>
      <c r="ABB224" s="38"/>
      <c r="ABC224" s="39"/>
      <c r="ABD224" s="34"/>
      <c r="ABE224" s="34"/>
      <c r="ABF224" s="34"/>
      <c r="ABG224" s="35"/>
      <c r="ABH224" s="35"/>
      <c r="ABI224" s="35"/>
      <c r="ABJ224" s="35"/>
      <c r="ABK224" s="35"/>
      <c r="ABL224" s="34"/>
      <c r="ABM224" s="34"/>
      <c r="ABN224" s="36"/>
      <c r="ABO224" s="36"/>
      <c r="ABP224" s="37"/>
      <c r="ABQ224" s="37"/>
      <c r="ABR224" s="38"/>
      <c r="ABS224" s="38"/>
      <c r="ABT224" s="39"/>
      <c r="ABU224" s="34"/>
      <c r="ABV224" s="34"/>
      <c r="ABW224" s="34"/>
      <c r="ABX224" s="35"/>
      <c r="ABY224" s="35"/>
      <c r="ABZ224" s="35"/>
      <c r="ACA224" s="35"/>
      <c r="ACB224" s="35"/>
      <c r="ACC224" s="34"/>
      <c r="ACD224" s="34"/>
      <c r="ACE224" s="36"/>
      <c r="ACF224" s="36"/>
      <c r="ACG224" s="37"/>
      <c r="ACH224" s="37"/>
      <c r="ACI224" s="38"/>
      <c r="ACJ224" s="38"/>
      <c r="ACK224" s="39"/>
      <c r="ACL224" s="34"/>
      <c r="ACM224" s="34"/>
      <c r="ACN224" s="34"/>
      <c r="ACO224" s="35"/>
      <c r="ACP224" s="35"/>
      <c r="ACQ224" s="35"/>
      <c r="ACR224" s="35"/>
      <c r="ACS224" s="35"/>
      <c r="ACT224" s="34"/>
      <c r="ACU224" s="34"/>
      <c r="ACV224" s="36"/>
      <c r="ACW224" s="36"/>
      <c r="ACX224" s="37"/>
      <c r="ACY224" s="37"/>
      <c r="ACZ224" s="38"/>
      <c r="ADA224" s="38"/>
      <c r="ADB224" s="39"/>
      <c r="ADC224" s="34"/>
      <c r="ADD224" s="34"/>
      <c r="ADE224" s="34"/>
      <c r="ADF224" s="35"/>
      <c r="ADG224" s="35"/>
      <c r="ADH224" s="35"/>
      <c r="ADI224" s="35"/>
      <c r="ADJ224" s="35"/>
      <c r="ADK224" s="34"/>
      <c r="ADL224" s="34"/>
      <c r="ADM224" s="36"/>
      <c r="ADN224" s="36"/>
      <c r="ADO224" s="37"/>
      <c r="ADP224" s="37"/>
      <c r="ADQ224" s="38"/>
      <c r="ADR224" s="38"/>
      <c r="ADS224" s="39"/>
      <c r="ADT224" s="34"/>
      <c r="ADU224" s="34"/>
      <c r="ADV224" s="34"/>
      <c r="ADW224" s="35"/>
      <c r="ADX224" s="35"/>
      <c r="ADY224" s="35"/>
      <c r="ADZ224" s="35"/>
      <c r="AEA224" s="35"/>
      <c r="AEB224" s="34"/>
      <c r="AEC224" s="34"/>
      <c r="AED224" s="36"/>
      <c r="AEE224" s="36"/>
      <c r="AEF224" s="37"/>
      <c r="AEG224" s="37"/>
      <c r="AEH224" s="38"/>
      <c r="AEI224" s="38"/>
      <c r="AEJ224" s="39"/>
      <c r="AEK224" s="34"/>
      <c r="AEL224" s="34"/>
      <c r="AEM224" s="34"/>
      <c r="AEN224" s="35"/>
      <c r="AEO224" s="35"/>
      <c r="AEP224" s="35"/>
      <c r="AEQ224" s="35"/>
      <c r="AER224" s="35"/>
      <c r="AES224" s="34"/>
      <c r="AET224" s="34"/>
      <c r="AEU224" s="36"/>
      <c r="AEV224" s="36"/>
      <c r="AEW224" s="37"/>
      <c r="AEX224" s="37"/>
      <c r="AEY224" s="38"/>
      <c r="AEZ224" s="38"/>
      <c r="AFA224" s="39"/>
      <c r="AFB224" s="34"/>
      <c r="AFC224" s="34"/>
      <c r="AFD224" s="34"/>
      <c r="AFE224" s="35"/>
      <c r="AFF224" s="35"/>
      <c r="AFG224" s="35"/>
      <c r="AFH224" s="35"/>
      <c r="AFI224" s="35"/>
      <c r="AFJ224" s="34"/>
      <c r="AFK224" s="34"/>
      <c r="AFL224" s="36"/>
      <c r="AFM224" s="36"/>
      <c r="AFN224" s="37"/>
      <c r="AFO224" s="37"/>
      <c r="AFP224" s="38"/>
      <c r="AFQ224" s="38"/>
      <c r="AFR224" s="39"/>
      <c r="AFS224" s="34"/>
      <c r="AFT224" s="34"/>
      <c r="AFU224" s="34"/>
      <c r="AFV224" s="35"/>
      <c r="AFW224" s="35"/>
      <c r="AFX224" s="35"/>
      <c r="AFY224" s="35"/>
      <c r="AFZ224" s="35"/>
      <c r="AGA224" s="34"/>
      <c r="AGB224" s="34"/>
      <c r="AGC224" s="36"/>
      <c r="AGD224" s="36"/>
      <c r="AGE224" s="37"/>
      <c r="AGF224" s="37"/>
      <c r="AGG224" s="38"/>
      <c r="AGH224" s="38"/>
      <c r="AGI224" s="39"/>
      <c r="AGJ224" s="34"/>
      <c r="AGK224" s="34"/>
      <c r="AGL224" s="34"/>
      <c r="AGM224" s="35"/>
      <c r="AGN224" s="35"/>
      <c r="AGO224" s="35"/>
      <c r="AGP224" s="35"/>
      <c r="AGQ224" s="35"/>
      <c r="AGR224" s="34"/>
      <c r="AGS224" s="34"/>
      <c r="AGT224" s="36"/>
      <c r="AGU224" s="36"/>
      <c r="AGV224" s="37"/>
      <c r="AGW224" s="37"/>
      <c r="AGX224" s="38"/>
      <c r="AGY224" s="38"/>
      <c r="AGZ224" s="39"/>
      <c r="AHA224" s="34"/>
      <c r="AHB224" s="34"/>
      <c r="AHC224" s="34"/>
      <c r="AHD224" s="35"/>
      <c r="AHE224" s="35"/>
      <c r="AHF224" s="35"/>
      <c r="AHG224" s="35"/>
      <c r="AHH224" s="35"/>
      <c r="AHI224" s="34"/>
      <c r="AHJ224" s="34"/>
      <c r="AHK224" s="36"/>
      <c r="AHL224" s="36"/>
      <c r="AHM224" s="37"/>
      <c r="AHN224" s="37"/>
      <c r="AHO224" s="38"/>
      <c r="AHP224" s="38"/>
      <c r="AHQ224" s="39"/>
      <c r="AHR224" s="34"/>
      <c r="AHS224" s="34"/>
      <c r="AHT224" s="34"/>
      <c r="AHU224" s="35"/>
      <c r="AHV224" s="35"/>
      <c r="AHW224" s="35"/>
      <c r="AHX224" s="35"/>
      <c r="AHY224" s="35"/>
      <c r="AHZ224" s="34"/>
      <c r="AIA224" s="34"/>
      <c r="AIB224" s="36"/>
      <c r="AIC224" s="36"/>
      <c r="AID224" s="37"/>
      <c r="AIE224" s="37"/>
      <c r="AIF224" s="38"/>
      <c r="AIG224" s="38"/>
      <c r="AIH224" s="39"/>
      <c r="AII224" s="34"/>
      <c r="AIJ224" s="34"/>
      <c r="AIK224" s="34"/>
      <c r="AIL224" s="35"/>
      <c r="AIM224" s="35"/>
      <c r="AIN224" s="35"/>
      <c r="AIO224" s="35"/>
      <c r="AIP224" s="35"/>
      <c r="AIQ224" s="34"/>
      <c r="AIR224" s="34"/>
      <c r="AIS224" s="36"/>
      <c r="AIT224" s="36"/>
      <c r="AIU224" s="37"/>
      <c r="AIV224" s="37"/>
      <c r="AIW224" s="38"/>
      <c r="AIX224" s="38"/>
      <c r="AIY224" s="39"/>
      <c r="AIZ224" s="34"/>
      <c r="AJA224" s="34"/>
      <c r="AJB224" s="34"/>
      <c r="AJC224" s="35"/>
      <c r="AJD224" s="35"/>
      <c r="AJE224" s="35"/>
      <c r="AJF224" s="35"/>
      <c r="AJG224" s="35"/>
      <c r="AJH224" s="34"/>
      <c r="AJI224" s="34"/>
      <c r="AJJ224" s="36"/>
      <c r="AJK224" s="36"/>
      <c r="AJL224" s="37"/>
      <c r="AJM224" s="37"/>
      <c r="AJN224" s="38"/>
      <c r="AJO224" s="38"/>
      <c r="AJP224" s="39"/>
      <c r="AJQ224" s="34"/>
      <c r="AJR224" s="34"/>
      <c r="AJS224" s="34"/>
      <c r="AJT224" s="35"/>
      <c r="AJU224" s="35"/>
      <c r="AJV224" s="35"/>
      <c r="AJW224" s="35"/>
      <c r="AJX224" s="35"/>
      <c r="AJY224" s="34"/>
      <c r="AJZ224" s="34"/>
      <c r="AKA224" s="36"/>
      <c r="AKB224" s="36"/>
      <c r="AKC224" s="37"/>
      <c r="AKD224" s="37"/>
      <c r="AKE224" s="38"/>
      <c r="AKF224" s="38"/>
      <c r="AKG224" s="39"/>
      <c r="AKH224" s="34"/>
      <c r="AKI224" s="34"/>
      <c r="AKJ224" s="34"/>
      <c r="AKK224" s="35"/>
      <c r="AKL224" s="35"/>
      <c r="AKM224" s="35"/>
      <c r="AKN224" s="35"/>
      <c r="AKO224" s="35"/>
      <c r="AKP224" s="34"/>
      <c r="AKQ224" s="34"/>
      <c r="AKR224" s="36"/>
      <c r="AKS224" s="36"/>
      <c r="AKT224" s="37"/>
      <c r="AKU224" s="37"/>
      <c r="AKV224" s="38"/>
      <c r="AKW224" s="38"/>
      <c r="AKX224" s="39"/>
      <c r="AKY224" s="34"/>
      <c r="AKZ224" s="34"/>
      <c r="ALA224" s="34"/>
      <c r="ALB224" s="35"/>
      <c r="ALC224" s="35"/>
      <c r="ALD224" s="35"/>
      <c r="ALE224" s="35"/>
      <c r="ALF224" s="35"/>
      <c r="ALG224" s="34"/>
      <c r="ALH224" s="34"/>
      <c r="ALI224" s="36"/>
      <c r="ALJ224" s="36"/>
      <c r="ALK224" s="37"/>
      <c r="ALL224" s="37"/>
      <c r="ALM224" s="38"/>
      <c r="ALN224" s="38"/>
      <c r="ALO224" s="39"/>
      <c r="ALP224" s="34"/>
      <c r="ALQ224" s="34"/>
      <c r="ALR224" s="34"/>
      <c r="ALS224" s="35"/>
      <c r="ALT224" s="35"/>
      <c r="ALU224" s="35"/>
      <c r="ALV224" s="35"/>
      <c r="ALW224" s="35"/>
      <c r="ALX224" s="34"/>
      <c r="ALY224" s="34"/>
      <c r="ALZ224" s="36"/>
      <c r="AMA224" s="36"/>
      <c r="AMB224" s="37"/>
      <c r="AMC224" s="37"/>
      <c r="AMD224" s="38"/>
      <c r="AME224" s="38"/>
      <c r="AMF224" s="39"/>
      <c r="AMG224" s="34"/>
      <c r="AMH224" s="34"/>
      <c r="AMI224" s="34"/>
      <c r="AMJ224" s="35"/>
      <c r="AMK224" s="35"/>
      <c r="AML224" s="35"/>
      <c r="AMM224" s="35"/>
      <c r="AMN224" s="35"/>
      <c r="AMO224" s="34"/>
      <c r="AMP224" s="34"/>
      <c r="AMQ224" s="36"/>
      <c r="AMR224" s="36"/>
      <c r="AMS224" s="37"/>
      <c r="AMT224" s="37"/>
      <c r="AMU224" s="38"/>
      <c r="AMV224" s="38"/>
      <c r="AMW224" s="39"/>
      <c r="AMX224" s="34"/>
      <c r="AMY224" s="34"/>
      <c r="AMZ224" s="34"/>
      <c r="ANA224" s="35"/>
      <c r="ANB224" s="35"/>
      <c r="ANC224" s="35"/>
      <c r="AND224" s="35"/>
      <c r="ANE224" s="35"/>
      <c r="ANF224" s="34"/>
      <c r="ANG224" s="34"/>
      <c r="ANH224" s="36"/>
      <c r="ANI224" s="36"/>
      <c r="ANJ224" s="37"/>
      <c r="ANK224" s="37"/>
      <c r="ANL224" s="38"/>
      <c r="ANM224" s="38"/>
      <c r="ANN224" s="39"/>
      <c r="ANO224" s="34"/>
      <c r="ANP224" s="34"/>
      <c r="ANQ224" s="34"/>
      <c r="ANR224" s="35"/>
      <c r="ANS224" s="35"/>
      <c r="ANT224" s="35"/>
      <c r="ANU224" s="35"/>
      <c r="ANV224" s="35"/>
      <c r="ANW224" s="34"/>
      <c r="ANX224" s="34"/>
      <c r="ANY224" s="36"/>
      <c r="ANZ224" s="36"/>
      <c r="AOA224" s="37"/>
      <c r="AOB224" s="37"/>
      <c r="AOC224" s="38"/>
      <c r="AOD224" s="38"/>
      <c r="AOE224" s="39"/>
      <c r="AOF224" s="34"/>
      <c r="AOG224" s="34"/>
      <c r="AOH224" s="34"/>
      <c r="AOI224" s="35"/>
      <c r="AOJ224" s="35"/>
      <c r="AOK224" s="35"/>
      <c r="AOL224" s="35"/>
      <c r="AOM224" s="35"/>
      <c r="AON224" s="34"/>
      <c r="AOO224" s="34"/>
      <c r="AOP224" s="36"/>
      <c r="AOQ224" s="36"/>
      <c r="AOR224" s="37"/>
      <c r="AOS224" s="37"/>
      <c r="AOT224" s="38"/>
      <c r="AOU224" s="38"/>
      <c r="AOV224" s="39"/>
      <c r="AOW224" s="34"/>
      <c r="AOX224" s="34"/>
      <c r="AOY224" s="34"/>
      <c r="AOZ224" s="35"/>
      <c r="APA224" s="35"/>
      <c r="APB224" s="35"/>
      <c r="APC224" s="35"/>
      <c r="APD224" s="35"/>
      <c r="APE224" s="34"/>
      <c r="APF224" s="34"/>
      <c r="APG224" s="36"/>
      <c r="APH224" s="36"/>
      <c r="API224" s="37"/>
      <c r="APJ224" s="37"/>
      <c r="APK224" s="38"/>
      <c r="APL224" s="38"/>
      <c r="APM224" s="39"/>
      <c r="APN224" s="34"/>
      <c r="APO224" s="34"/>
      <c r="APP224" s="34"/>
      <c r="APQ224" s="35"/>
      <c r="APR224" s="35"/>
      <c r="APS224" s="35"/>
      <c r="APT224" s="35"/>
      <c r="APU224" s="35"/>
      <c r="APV224" s="34"/>
      <c r="APW224" s="34"/>
      <c r="APX224" s="36"/>
      <c r="APY224" s="36"/>
      <c r="APZ224" s="37"/>
      <c r="AQA224" s="37"/>
      <c r="AQB224" s="38"/>
      <c r="AQC224" s="38"/>
      <c r="AQD224" s="39"/>
      <c r="AQE224" s="34"/>
      <c r="AQF224" s="34"/>
      <c r="AQG224" s="34"/>
      <c r="AQH224" s="35"/>
      <c r="AQI224" s="35"/>
      <c r="AQJ224" s="35"/>
      <c r="AQK224" s="35"/>
      <c r="AQL224" s="35"/>
      <c r="AQM224" s="34"/>
      <c r="AQN224" s="34"/>
      <c r="AQO224" s="36"/>
      <c r="AQP224" s="36"/>
      <c r="AQQ224" s="37"/>
      <c r="AQR224" s="37"/>
      <c r="AQS224" s="38"/>
      <c r="AQT224" s="38"/>
      <c r="AQU224" s="39"/>
      <c r="AQV224" s="34"/>
      <c r="AQW224" s="34"/>
      <c r="AQX224" s="34"/>
      <c r="AQY224" s="35"/>
      <c r="AQZ224" s="35"/>
      <c r="ARA224" s="35"/>
      <c r="ARB224" s="35"/>
      <c r="ARC224" s="35"/>
      <c r="ARD224" s="34"/>
      <c r="ARE224" s="34"/>
      <c r="ARF224" s="36"/>
      <c r="ARG224" s="36"/>
      <c r="ARH224" s="37"/>
      <c r="ARI224" s="37"/>
      <c r="ARJ224" s="38"/>
      <c r="ARK224" s="38"/>
      <c r="ARL224" s="39"/>
      <c r="ARM224" s="34"/>
      <c r="ARN224" s="34"/>
      <c r="ARO224" s="34"/>
      <c r="ARP224" s="35"/>
      <c r="ARQ224" s="35"/>
      <c r="ARR224" s="35"/>
      <c r="ARS224" s="35"/>
      <c r="ART224" s="35"/>
      <c r="ARU224" s="34"/>
      <c r="ARV224" s="34"/>
      <c r="ARW224" s="36"/>
      <c r="ARX224" s="36"/>
      <c r="ARY224" s="37"/>
      <c r="ARZ224" s="37"/>
      <c r="ASA224" s="38"/>
      <c r="ASB224" s="38"/>
      <c r="ASC224" s="39"/>
      <c r="ASD224" s="34"/>
      <c r="ASE224" s="34"/>
      <c r="ASF224" s="34"/>
      <c r="ASG224" s="35"/>
      <c r="ASH224" s="35"/>
      <c r="ASI224" s="35"/>
      <c r="ASJ224" s="35"/>
      <c r="ASK224" s="35"/>
      <c r="ASL224" s="34"/>
      <c r="ASM224" s="34"/>
      <c r="ASN224" s="36"/>
      <c r="ASO224" s="36"/>
      <c r="ASP224" s="37"/>
      <c r="ASQ224" s="37"/>
      <c r="ASR224" s="38"/>
      <c r="ASS224" s="38"/>
      <c r="AST224" s="39"/>
      <c r="ASU224" s="34"/>
      <c r="ASV224" s="34"/>
      <c r="ASW224" s="34"/>
      <c r="ASX224" s="35"/>
      <c r="ASY224" s="35"/>
      <c r="ASZ224" s="35"/>
      <c r="ATA224" s="35"/>
      <c r="ATB224" s="35"/>
      <c r="ATC224" s="34"/>
      <c r="ATD224" s="34"/>
      <c r="ATE224" s="36"/>
      <c r="ATF224" s="36"/>
      <c r="ATG224" s="37"/>
      <c r="ATH224" s="37"/>
      <c r="ATI224" s="38"/>
      <c r="ATJ224" s="38"/>
      <c r="ATK224" s="39"/>
      <c r="ATL224" s="34"/>
      <c r="ATM224" s="34"/>
      <c r="ATN224" s="34"/>
      <c r="ATO224" s="35"/>
      <c r="ATP224" s="35"/>
      <c r="ATQ224" s="35"/>
      <c r="ATR224" s="35"/>
      <c r="ATS224" s="35"/>
      <c r="ATT224" s="34"/>
      <c r="ATU224" s="34"/>
      <c r="ATV224" s="36"/>
      <c r="ATW224" s="36"/>
      <c r="ATX224" s="37"/>
      <c r="ATY224" s="37"/>
      <c r="ATZ224" s="38"/>
      <c r="AUA224" s="38"/>
      <c r="AUB224" s="39"/>
      <c r="AUC224" s="34"/>
      <c r="AUD224" s="34"/>
      <c r="AUE224" s="34"/>
      <c r="AUF224" s="35"/>
      <c r="AUG224" s="35"/>
      <c r="AUH224" s="35"/>
      <c r="AUI224" s="35"/>
      <c r="AUJ224" s="35"/>
      <c r="AUK224" s="34"/>
      <c r="AUL224" s="34"/>
      <c r="AUM224" s="36"/>
      <c r="AUN224" s="36"/>
      <c r="AUO224" s="37"/>
      <c r="AUP224" s="37"/>
      <c r="AUQ224" s="38"/>
      <c r="AUR224" s="38"/>
      <c r="AUS224" s="39"/>
      <c r="AUT224" s="34"/>
      <c r="AUU224" s="34"/>
      <c r="AUV224" s="34"/>
      <c r="AUW224" s="35"/>
      <c r="AUX224" s="35"/>
      <c r="AUY224" s="35"/>
      <c r="AUZ224" s="35"/>
      <c r="AVA224" s="35"/>
      <c r="AVB224" s="34"/>
      <c r="AVC224" s="34"/>
      <c r="AVD224" s="36"/>
      <c r="AVE224" s="36"/>
      <c r="AVF224" s="37"/>
      <c r="AVG224" s="37"/>
      <c r="AVH224" s="38"/>
      <c r="AVI224" s="38"/>
      <c r="AVJ224" s="39"/>
      <c r="AVK224" s="34"/>
      <c r="AVL224" s="34"/>
      <c r="AVM224" s="34"/>
      <c r="AVN224" s="35"/>
      <c r="AVO224" s="35"/>
      <c r="AVP224" s="35"/>
      <c r="AVQ224" s="35"/>
      <c r="AVR224" s="35"/>
      <c r="AVS224" s="34"/>
      <c r="AVT224" s="34"/>
      <c r="AVU224" s="36"/>
      <c r="AVV224" s="36"/>
      <c r="AVW224" s="37"/>
      <c r="AVX224" s="37"/>
      <c r="AVY224" s="38"/>
      <c r="AVZ224" s="38"/>
      <c r="AWA224" s="39"/>
      <c r="AWB224" s="34"/>
      <c r="AWC224" s="34"/>
      <c r="AWD224" s="34"/>
      <c r="AWE224" s="35"/>
      <c r="AWF224" s="35"/>
      <c r="AWG224" s="35"/>
      <c r="AWH224" s="35"/>
      <c r="AWI224" s="35"/>
      <c r="AWJ224" s="34"/>
      <c r="AWK224" s="34"/>
      <c r="AWL224" s="36"/>
      <c r="AWM224" s="36"/>
      <c r="AWN224" s="37"/>
      <c r="AWO224" s="37"/>
      <c r="AWP224" s="38"/>
      <c r="AWQ224" s="38"/>
      <c r="AWR224" s="39"/>
      <c r="AWS224" s="34"/>
      <c r="AWT224" s="34"/>
      <c r="AWU224" s="34"/>
      <c r="AWV224" s="35"/>
      <c r="AWW224" s="35"/>
      <c r="AWX224" s="35"/>
      <c r="AWY224" s="35"/>
      <c r="AWZ224" s="35"/>
      <c r="AXA224" s="34"/>
      <c r="AXB224" s="34"/>
      <c r="AXC224" s="36"/>
      <c r="AXD224" s="36"/>
      <c r="AXE224" s="37"/>
      <c r="AXF224" s="37"/>
      <c r="AXG224" s="38"/>
      <c r="AXH224" s="38"/>
      <c r="AXI224" s="39"/>
      <c r="AXJ224" s="34"/>
      <c r="AXK224" s="34"/>
      <c r="AXL224" s="34"/>
      <c r="AXM224" s="35"/>
      <c r="AXN224" s="35"/>
      <c r="AXO224" s="35"/>
      <c r="AXP224" s="35"/>
      <c r="AXQ224" s="35"/>
      <c r="AXR224" s="34"/>
      <c r="AXS224" s="34"/>
      <c r="AXT224" s="36"/>
      <c r="AXU224" s="36"/>
      <c r="AXV224" s="37"/>
      <c r="AXW224" s="37"/>
      <c r="AXX224" s="38"/>
      <c r="AXY224" s="38"/>
      <c r="AXZ224" s="39"/>
      <c r="AYA224" s="34"/>
      <c r="AYB224" s="34"/>
      <c r="AYC224" s="34"/>
      <c r="AYD224" s="35"/>
      <c r="AYE224" s="35"/>
      <c r="AYF224" s="35"/>
      <c r="AYG224" s="35"/>
      <c r="AYH224" s="35"/>
      <c r="AYI224" s="34"/>
      <c r="AYJ224" s="34"/>
      <c r="AYK224" s="36"/>
      <c r="AYL224" s="36"/>
      <c r="AYM224" s="37"/>
      <c r="AYN224" s="37"/>
      <c r="AYO224" s="38"/>
      <c r="AYP224" s="38"/>
      <c r="AYQ224" s="39"/>
      <c r="AYR224" s="34"/>
      <c r="AYS224" s="34"/>
      <c r="AYT224" s="34"/>
      <c r="AYU224" s="35"/>
      <c r="AYV224" s="35"/>
      <c r="AYW224" s="35"/>
      <c r="AYX224" s="35"/>
      <c r="AYY224" s="35"/>
      <c r="AYZ224" s="34"/>
      <c r="AZA224" s="34"/>
      <c r="AZB224" s="36"/>
      <c r="AZC224" s="36"/>
      <c r="AZD224" s="37"/>
      <c r="AZE224" s="37"/>
      <c r="AZF224" s="38"/>
      <c r="AZG224" s="38"/>
      <c r="AZH224" s="39"/>
      <c r="AZI224" s="34"/>
      <c r="AZJ224" s="34"/>
      <c r="AZK224" s="34"/>
      <c r="AZL224" s="35"/>
      <c r="AZM224" s="35"/>
      <c r="AZN224" s="35"/>
      <c r="AZO224" s="35"/>
      <c r="AZP224" s="35"/>
      <c r="AZQ224" s="34"/>
      <c r="AZR224" s="34"/>
      <c r="AZS224" s="36"/>
      <c r="AZT224" s="36"/>
      <c r="AZU224" s="37"/>
      <c r="AZV224" s="37"/>
      <c r="AZW224" s="38"/>
      <c r="AZX224" s="38"/>
      <c r="AZY224" s="39"/>
      <c r="AZZ224" s="34"/>
      <c r="BAA224" s="34"/>
      <c r="BAB224" s="34"/>
      <c r="BAC224" s="35"/>
      <c r="BAD224" s="35"/>
      <c r="BAE224" s="35"/>
      <c r="BAF224" s="35"/>
      <c r="BAG224" s="35"/>
      <c r="BAH224" s="34"/>
      <c r="BAI224" s="34"/>
      <c r="BAJ224" s="36"/>
      <c r="BAK224" s="36"/>
      <c r="BAL224" s="37"/>
      <c r="BAM224" s="37"/>
      <c r="BAN224" s="38"/>
      <c r="BAO224" s="38"/>
      <c r="BAP224" s="39"/>
      <c r="BAQ224" s="34"/>
      <c r="BAR224" s="34"/>
      <c r="BAS224" s="34"/>
      <c r="BAT224" s="35"/>
      <c r="BAU224" s="35"/>
      <c r="BAV224" s="35"/>
      <c r="BAW224" s="35"/>
      <c r="BAX224" s="35"/>
      <c r="BAY224" s="34"/>
      <c r="BAZ224" s="34"/>
      <c r="BBA224" s="36"/>
      <c r="BBB224" s="36"/>
      <c r="BBC224" s="37"/>
      <c r="BBD224" s="37"/>
      <c r="BBE224" s="38"/>
      <c r="BBF224" s="38"/>
      <c r="BBG224" s="39"/>
      <c r="BBH224" s="34"/>
      <c r="BBI224" s="34"/>
      <c r="BBJ224" s="34"/>
      <c r="BBK224" s="35"/>
      <c r="BBL224" s="35"/>
      <c r="BBM224" s="35"/>
      <c r="BBN224" s="35"/>
      <c r="BBO224" s="35"/>
      <c r="BBP224" s="34"/>
      <c r="BBQ224" s="34"/>
      <c r="BBR224" s="36"/>
      <c r="BBS224" s="36"/>
      <c r="BBT224" s="37"/>
      <c r="BBU224" s="37"/>
      <c r="BBV224" s="38"/>
      <c r="BBW224" s="38"/>
      <c r="BBX224" s="39"/>
      <c r="BBY224" s="34"/>
      <c r="BBZ224" s="34"/>
      <c r="BCA224" s="34"/>
      <c r="BCB224" s="35"/>
      <c r="BCC224" s="35"/>
      <c r="BCD224" s="35"/>
      <c r="BCE224" s="35"/>
      <c r="BCF224" s="35"/>
      <c r="BCG224" s="34"/>
      <c r="BCH224" s="34"/>
      <c r="BCI224" s="36"/>
      <c r="BCJ224" s="36"/>
      <c r="BCK224" s="37"/>
      <c r="BCL224" s="37"/>
      <c r="BCM224" s="38"/>
      <c r="BCN224" s="38"/>
      <c r="BCO224" s="39"/>
      <c r="BCP224" s="34"/>
      <c r="BCQ224" s="34"/>
      <c r="BCR224" s="34"/>
      <c r="BCS224" s="35"/>
      <c r="BCT224" s="35"/>
      <c r="BCU224" s="35"/>
      <c r="BCV224" s="35"/>
      <c r="BCW224" s="35"/>
      <c r="BCX224" s="34"/>
      <c r="BCY224" s="34"/>
      <c r="BCZ224" s="36"/>
      <c r="BDA224" s="36"/>
      <c r="BDB224" s="37"/>
      <c r="BDC224" s="37"/>
      <c r="BDD224" s="38"/>
      <c r="BDE224" s="38"/>
      <c r="BDF224" s="39"/>
      <c r="BDG224" s="34"/>
      <c r="BDH224" s="34"/>
      <c r="BDI224" s="34"/>
      <c r="BDJ224" s="35"/>
      <c r="BDK224" s="35"/>
      <c r="BDL224" s="35"/>
      <c r="BDM224" s="35"/>
      <c r="BDN224" s="35"/>
      <c r="BDO224" s="34"/>
      <c r="BDP224" s="34"/>
      <c r="BDQ224" s="36"/>
      <c r="BDR224" s="36"/>
      <c r="BDS224" s="37"/>
      <c r="BDT224" s="37"/>
      <c r="BDU224" s="38"/>
      <c r="BDV224" s="38"/>
      <c r="BDW224" s="39"/>
      <c r="BDX224" s="34"/>
      <c r="BDY224" s="34"/>
      <c r="BDZ224" s="34"/>
      <c r="BEA224" s="35"/>
      <c r="BEB224" s="35"/>
      <c r="BEC224" s="35"/>
      <c r="BED224" s="35"/>
      <c r="BEE224" s="35"/>
      <c r="BEF224" s="34"/>
      <c r="BEG224" s="34"/>
      <c r="BEH224" s="36"/>
      <c r="BEI224" s="36"/>
      <c r="BEJ224" s="37"/>
      <c r="BEK224" s="37"/>
      <c r="BEL224" s="38"/>
      <c r="BEM224" s="38"/>
      <c r="BEN224" s="39"/>
      <c r="BEO224" s="34"/>
      <c r="BEP224" s="34"/>
      <c r="BEQ224" s="34"/>
      <c r="BER224" s="35"/>
      <c r="BES224" s="35"/>
      <c r="BET224" s="35"/>
      <c r="BEU224" s="35"/>
      <c r="BEV224" s="35"/>
      <c r="BEW224" s="34"/>
      <c r="BEX224" s="34"/>
      <c r="BEY224" s="36"/>
      <c r="BEZ224" s="36"/>
      <c r="BFA224" s="37"/>
      <c r="BFB224" s="37"/>
      <c r="BFC224" s="38"/>
      <c r="BFD224" s="38"/>
      <c r="BFE224" s="39"/>
      <c r="BFF224" s="34"/>
      <c r="BFG224" s="34"/>
      <c r="BFH224" s="34"/>
      <c r="BFI224" s="35"/>
      <c r="BFJ224" s="35"/>
      <c r="BFK224" s="35"/>
      <c r="BFL224" s="35"/>
      <c r="BFM224" s="35"/>
      <c r="BFN224" s="34"/>
      <c r="BFO224" s="34"/>
      <c r="BFP224" s="36"/>
      <c r="BFQ224" s="36"/>
      <c r="BFR224" s="37"/>
      <c r="BFS224" s="37"/>
      <c r="BFT224" s="38"/>
      <c r="BFU224" s="38"/>
      <c r="BFV224" s="39"/>
      <c r="BFW224" s="34"/>
      <c r="BFX224" s="34"/>
      <c r="BFY224" s="34"/>
      <c r="BFZ224" s="35"/>
      <c r="BGA224" s="35"/>
      <c r="BGB224" s="35"/>
      <c r="BGC224" s="35"/>
      <c r="BGD224" s="35"/>
      <c r="BGE224" s="34"/>
      <c r="BGF224" s="34"/>
      <c r="BGG224" s="36"/>
      <c r="BGH224" s="36"/>
      <c r="BGI224" s="37"/>
      <c r="BGJ224" s="37"/>
      <c r="BGK224" s="38"/>
      <c r="BGL224" s="38"/>
      <c r="BGM224" s="39"/>
      <c r="BGN224" s="34"/>
      <c r="BGO224" s="34"/>
      <c r="BGP224" s="34"/>
      <c r="BGQ224" s="35"/>
      <c r="BGR224" s="35"/>
      <c r="BGS224" s="35"/>
      <c r="BGT224" s="35"/>
      <c r="BGU224" s="35"/>
      <c r="BGV224" s="34"/>
      <c r="BGW224" s="34"/>
      <c r="BGX224" s="36"/>
      <c r="BGY224" s="36"/>
      <c r="BGZ224" s="37"/>
      <c r="BHA224" s="37"/>
      <c r="BHB224" s="38"/>
      <c r="BHC224" s="38"/>
      <c r="BHD224" s="39"/>
      <c r="BHE224" s="34"/>
      <c r="BHF224" s="34"/>
      <c r="BHG224" s="34"/>
      <c r="BHH224" s="35"/>
      <c r="BHI224" s="35"/>
      <c r="BHJ224" s="35"/>
      <c r="BHK224" s="35"/>
      <c r="BHL224" s="35"/>
      <c r="BHM224" s="34"/>
      <c r="BHN224" s="34"/>
      <c r="BHO224" s="36"/>
      <c r="BHP224" s="36"/>
      <c r="BHQ224" s="37"/>
      <c r="BHR224" s="37"/>
      <c r="BHS224" s="38"/>
      <c r="BHT224" s="38"/>
      <c r="BHU224" s="39"/>
      <c r="BHV224" s="34"/>
      <c r="BHW224" s="34"/>
      <c r="BHX224" s="34"/>
      <c r="BHY224" s="35"/>
      <c r="BHZ224" s="35"/>
      <c r="BIA224" s="35"/>
      <c r="BIB224" s="35"/>
      <c r="BIC224" s="35"/>
      <c r="BID224" s="34"/>
      <c r="BIE224" s="34"/>
      <c r="BIF224" s="36"/>
      <c r="BIG224" s="36"/>
      <c r="BIH224" s="37"/>
      <c r="BII224" s="37"/>
      <c r="BIJ224" s="38"/>
      <c r="BIK224" s="38"/>
      <c r="BIL224" s="39"/>
      <c r="BIM224" s="34"/>
      <c r="BIN224" s="34"/>
      <c r="BIO224" s="34"/>
      <c r="BIP224" s="35"/>
      <c r="BIQ224" s="35"/>
      <c r="BIR224" s="35"/>
      <c r="BIS224" s="35"/>
      <c r="BIT224" s="35"/>
      <c r="BIU224" s="34"/>
      <c r="BIV224" s="34"/>
      <c r="BIW224" s="36"/>
      <c r="BIX224" s="36"/>
      <c r="BIY224" s="37"/>
      <c r="BIZ224" s="37"/>
      <c r="BJA224" s="38"/>
      <c r="BJB224" s="38"/>
      <c r="BJC224" s="39"/>
      <c r="BJD224" s="34"/>
      <c r="BJE224" s="34"/>
      <c r="BJF224" s="34"/>
      <c r="BJG224" s="35"/>
      <c r="BJH224" s="35"/>
      <c r="BJI224" s="35"/>
      <c r="BJJ224" s="35"/>
      <c r="BJK224" s="35"/>
      <c r="BJL224" s="34"/>
      <c r="BJM224" s="34"/>
      <c r="BJN224" s="36"/>
      <c r="BJO224" s="36"/>
      <c r="BJP224" s="37"/>
      <c r="BJQ224" s="37"/>
      <c r="BJR224" s="38"/>
      <c r="BJS224" s="38"/>
      <c r="BJT224" s="39"/>
      <c r="BJU224" s="34"/>
      <c r="BJV224" s="34"/>
      <c r="BJW224" s="34"/>
      <c r="BJX224" s="35"/>
      <c r="BJY224" s="35"/>
      <c r="BJZ224" s="35"/>
      <c r="BKA224" s="35"/>
      <c r="BKB224" s="35"/>
      <c r="BKC224" s="34"/>
      <c r="BKD224" s="34"/>
      <c r="BKE224" s="36"/>
      <c r="BKF224" s="36"/>
      <c r="BKG224" s="37"/>
      <c r="BKH224" s="37"/>
      <c r="BKI224" s="38"/>
      <c r="BKJ224" s="38"/>
      <c r="BKK224" s="39"/>
      <c r="BKL224" s="34"/>
      <c r="BKM224" s="34"/>
      <c r="BKN224" s="34"/>
      <c r="BKO224" s="35"/>
      <c r="BKP224" s="35"/>
      <c r="BKQ224" s="35"/>
      <c r="BKR224" s="35"/>
      <c r="BKS224" s="35"/>
      <c r="BKT224" s="34"/>
      <c r="BKU224" s="34"/>
      <c r="BKV224" s="36"/>
      <c r="BKW224" s="36"/>
      <c r="BKX224" s="37"/>
      <c r="BKY224" s="37"/>
      <c r="BKZ224" s="38"/>
      <c r="BLA224" s="38"/>
      <c r="BLB224" s="39"/>
      <c r="BLC224" s="34"/>
      <c r="BLD224" s="34"/>
      <c r="BLE224" s="34"/>
      <c r="BLF224" s="35"/>
      <c r="BLG224" s="35"/>
      <c r="BLH224" s="35"/>
      <c r="BLI224" s="35"/>
      <c r="BLJ224" s="35"/>
      <c r="BLK224" s="34"/>
      <c r="BLL224" s="34"/>
      <c r="BLM224" s="36"/>
      <c r="BLN224" s="36"/>
      <c r="BLO224" s="37"/>
      <c r="BLP224" s="37"/>
      <c r="BLQ224" s="38"/>
      <c r="BLR224" s="38"/>
      <c r="BLS224" s="39"/>
      <c r="BLT224" s="34"/>
      <c r="BLU224" s="34"/>
      <c r="BLV224" s="34"/>
      <c r="BLW224" s="35"/>
      <c r="BLX224" s="35"/>
      <c r="BLY224" s="35"/>
      <c r="BLZ224" s="35"/>
      <c r="BMA224" s="35"/>
      <c r="BMB224" s="34"/>
      <c r="BMC224" s="34"/>
      <c r="BMD224" s="36"/>
      <c r="BME224" s="36"/>
      <c r="BMF224" s="37"/>
      <c r="BMG224" s="37"/>
      <c r="BMH224" s="38"/>
      <c r="BMI224" s="38"/>
      <c r="BMJ224" s="39"/>
      <c r="BMK224" s="34"/>
      <c r="BML224" s="34"/>
      <c r="BMM224" s="34"/>
      <c r="BMN224" s="35"/>
      <c r="BMO224" s="35"/>
      <c r="BMP224" s="35"/>
      <c r="BMQ224" s="35"/>
      <c r="BMR224" s="35"/>
      <c r="BMS224" s="34"/>
      <c r="BMT224" s="34"/>
      <c r="BMU224" s="36"/>
      <c r="BMV224" s="36"/>
      <c r="BMW224" s="37"/>
      <c r="BMX224" s="37"/>
      <c r="BMY224" s="38"/>
      <c r="BMZ224" s="38"/>
      <c r="BNA224" s="39"/>
      <c r="BNB224" s="34"/>
      <c r="BNC224" s="34"/>
      <c r="BND224" s="34"/>
      <c r="BNE224" s="35"/>
      <c r="BNF224" s="35"/>
      <c r="BNG224" s="35"/>
      <c r="BNH224" s="35"/>
      <c r="BNI224" s="35"/>
      <c r="BNJ224" s="34"/>
      <c r="BNK224" s="34"/>
      <c r="BNL224" s="36"/>
      <c r="BNM224" s="36"/>
      <c r="BNN224" s="37"/>
      <c r="BNO224" s="37"/>
      <c r="BNP224" s="38"/>
      <c r="BNQ224" s="38"/>
      <c r="BNR224" s="39"/>
      <c r="BNS224" s="34"/>
      <c r="BNT224" s="34"/>
      <c r="BNU224" s="34"/>
      <c r="BNV224" s="35"/>
      <c r="BNW224" s="35"/>
      <c r="BNX224" s="35"/>
      <c r="BNY224" s="35"/>
      <c r="BNZ224" s="35"/>
      <c r="BOA224" s="34"/>
      <c r="BOB224" s="34"/>
      <c r="BOC224" s="36"/>
      <c r="BOD224" s="36"/>
      <c r="BOE224" s="37"/>
      <c r="BOF224" s="37"/>
      <c r="BOG224" s="38"/>
      <c r="BOH224" s="38"/>
      <c r="BOI224" s="39"/>
      <c r="BOJ224" s="34"/>
      <c r="BOK224" s="34"/>
      <c r="BOL224" s="34"/>
      <c r="BOM224" s="35"/>
      <c r="BON224" s="35"/>
      <c r="BOO224" s="35"/>
      <c r="BOP224" s="35"/>
      <c r="BOQ224" s="35"/>
      <c r="BOR224" s="34"/>
      <c r="BOS224" s="34"/>
      <c r="BOT224" s="36"/>
      <c r="BOU224" s="36"/>
      <c r="BOV224" s="37"/>
      <c r="BOW224" s="37"/>
      <c r="BOX224" s="38"/>
      <c r="BOY224" s="38"/>
      <c r="BOZ224" s="39"/>
      <c r="BPA224" s="34"/>
      <c r="BPB224" s="34"/>
      <c r="BPC224" s="34"/>
      <c r="BPD224" s="35"/>
      <c r="BPE224" s="35"/>
      <c r="BPF224" s="35"/>
      <c r="BPG224" s="35"/>
      <c r="BPH224" s="35"/>
      <c r="BPI224" s="34"/>
      <c r="BPJ224" s="34"/>
      <c r="BPK224" s="36"/>
      <c r="BPL224" s="36"/>
      <c r="BPM224" s="37"/>
      <c r="BPN224" s="37"/>
      <c r="BPO224" s="38"/>
      <c r="BPP224" s="38"/>
      <c r="BPQ224" s="39"/>
      <c r="BPR224" s="34"/>
      <c r="BPS224" s="34"/>
      <c r="BPT224" s="34"/>
      <c r="BPU224" s="35"/>
      <c r="BPV224" s="35"/>
      <c r="BPW224" s="35"/>
      <c r="BPX224" s="35"/>
      <c r="BPY224" s="35"/>
      <c r="BPZ224" s="34"/>
      <c r="BQA224" s="34"/>
      <c r="BQB224" s="36"/>
      <c r="BQC224" s="36"/>
      <c r="BQD224" s="37"/>
      <c r="BQE224" s="37"/>
      <c r="BQF224" s="38"/>
      <c r="BQG224" s="38"/>
      <c r="BQH224" s="39"/>
      <c r="BQI224" s="34"/>
      <c r="BQJ224" s="34"/>
      <c r="BQK224" s="34"/>
      <c r="BQL224" s="35"/>
      <c r="BQM224" s="35"/>
      <c r="BQN224" s="35"/>
      <c r="BQO224" s="35"/>
      <c r="BQP224" s="35"/>
      <c r="BQQ224" s="34"/>
      <c r="BQR224" s="34"/>
      <c r="BQS224" s="36"/>
      <c r="BQT224" s="36"/>
      <c r="BQU224" s="37"/>
      <c r="BQV224" s="37"/>
      <c r="BQW224" s="38"/>
      <c r="BQX224" s="38"/>
      <c r="BQY224" s="39"/>
      <c r="BQZ224" s="34"/>
      <c r="BRA224" s="34"/>
      <c r="BRB224" s="34"/>
      <c r="BRC224" s="35"/>
      <c r="BRD224" s="35"/>
      <c r="BRE224" s="35"/>
      <c r="BRF224" s="35"/>
      <c r="BRG224" s="35"/>
      <c r="BRH224" s="34"/>
      <c r="BRI224" s="34"/>
      <c r="BRJ224" s="36"/>
      <c r="BRK224" s="36"/>
      <c r="BRL224" s="37"/>
      <c r="BRM224" s="37"/>
      <c r="BRN224" s="38"/>
      <c r="BRO224" s="38"/>
      <c r="BRP224" s="39"/>
      <c r="BRQ224" s="34"/>
      <c r="BRR224" s="34"/>
      <c r="BRS224" s="34"/>
      <c r="BRT224" s="35"/>
      <c r="BRU224" s="35"/>
      <c r="BRV224" s="35"/>
      <c r="BRW224" s="35"/>
      <c r="BRX224" s="35"/>
      <c r="BRY224" s="34"/>
      <c r="BRZ224" s="34"/>
      <c r="BSA224" s="36"/>
      <c r="BSB224" s="36"/>
      <c r="BSC224" s="37"/>
      <c r="BSD224" s="37"/>
      <c r="BSE224" s="38"/>
      <c r="BSF224" s="38"/>
      <c r="BSG224" s="39"/>
      <c r="BSH224" s="34"/>
      <c r="BSI224" s="34"/>
      <c r="BSJ224" s="34"/>
      <c r="BSK224" s="35"/>
      <c r="BSL224" s="35"/>
      <c r="BSM224" s="35"/>
      <c r="BSN224" s="35"/>
      <c r="BSO224" s="35"/>
      <c r="BSP224" s="34"/>
      <c r="BSQ224" s="34"/>
      <c r="BSR224" s="36"/>
      <c r="BSS224" s="36"/>
      <c r="BST224" s="37"/>
      <c r="BSU224" s="37"/>
      <c r="BSV224" s="38"/>
      <c r="BSW224" s="38"/>
      <c r="BSX224" s="39"/>
      <c r="BSY224" s="34"/>
      <c r="BSZ224" s="34"/>
      <c r="BTA224" s="34"/>
      <c r="BTB224" s="35"/>
      <c r="BTC224" s="35"/>
      <c r="BTD224" s="35"/>
      <c r="BTE224" s="35"/>
      <c r="BTF224" s="35"/>
      <c r="BTG224" s="34"/>
      <c r="BTH224" s="34"/>
      <c r="BTI224" s="36"/>
      <c r="BTJ224" s="36"/>
      <c r="BTK224" s="37"/>
      <c r="BTL224" s="37"/>
      <c r="BTM224" s="38"/>
      <c r="BTN224" s="38"/>
      <c r="BTO224" s="39"/>
      <c r="BTP224" s="34"/>
      <c r="BTQ224" s="34"/>
      <c r="BTR224" s="34"/>
      <c r="BTS224" s="35"/>
      <c r="BTT224" s="35"/>
      <c r="BTU224" s="35"/>
      <c r="BTV224" s="35"/>
      <c r="BTW224" s="35"/>
      <c r="BTX224" s="34"/>
      <c r="BTY224" s="34"/>
      <c r="BTZ224" s="36"/>
      <c r="BUA224" s="36"/>
      <c r="BUB224" s="37"/>
      <c r="BUC224" s="37"/>
      <c r="BUD224" s="38"/>
      <c r="BUE224" s="38"/>
      <c r="BUF224" s="39"/>
      <c r="BUG224" s="34"/>
      <c r="BUH224" s="34"/>
      <c r="BUI224" s="34"/>
      <c r="BUJ224" s="35"/>
      <c r="BUK224" s="35"/>
      <c r="BUL224" s="35"/>
      <c r="BUM224" s="35"/>
      <c r="BUN224" s="35"/>
      <c r="BUO224" s="34"/>
      <c r="BUP224" s="34"/>
      <c r="BUQ224" s="36"/>
      <c r="BUR224" s="36"/>
      <c r="BUS224" s="37"/>
      <c r="BUT224" s="37"/>
      <c r="BUU224" s="38"/>
      <c r="BUV224" s="38"/>
      <c r="BUW224" s="39"/>
      <c r="BUX224" s="34"/>
      <c r="BUY224" s="34"/>
      <c r="BUZ224" s="34"/>
      <c r="BVA224" s="35"/>
      <c r="BVB224" s="35"/>
      <c r="BVC224" s="35"/>
      <c r="BVD224" s="35"/>
      <c r="BVE224" s="35"/>
      <c r="BVF224" s="34"/>
      <c r="BVG224" s="34"/>
      <c r="BVH224" s="36"/>
      <c r="BVI224" s="36"/>
      <c r="BVJ224" s="37"/>
      <c r="BVK224" s="37"/>
      <c r="BVL224" s="38"/>
      <c r="BVM224" s="38"/>
      <c r="BVN224" s="39"/>
      <c r="BVO224" s="34"/>
      <c r="BVP224" s="34"/>
      <c r="BVQ224" s="34"/>
      <c r="BVR224" s="35"/>
      <c r="BVS224" s="35"/>
      <c r="BVT224" s="35"/>
      <c r="BVU224" s="35"/>
      <c r="BVV224" s="35"/>
      <c r="BVW224" s="34"/>
      <c r="BVX224" s="34"/>
      <c r="BVY224" s="36"/>
      <c r="BVZ224" s="36"/>
      <c r="BWA224" s="37"/>
      <c r="BWB224" s="37"/>
      <c r="BWC224" s="38"/>
      <c r="BWD224" s="38"/>
      <c r="BWE224" s="39"/>
      <c r="BWF224" s="34"/>
      <c r="BWG224" s="34"/>
      <c r="BWH224" s="34"/>
      <c r="BWI224" s="35"/>
      <c r="BWJ224" s="35"/>
      <c r="BWK224" s="35"/>
      <c r="BWL224" s="35"/>
      <c r="BWM224" s="35"/>
      <c r="BWN224" s="34"/>
      <c r="BWO224" s="34"/>
      <c r="BWP224" s="36"/>
      <c r="BWQ224" s="36"/>
      <c r="BWR224" s="37"/>
      <c r="BWS224" s="37"/>
      <c r="BWT224" s="38"/>
      <c r="BWU224" s="38"/>
      <c r="BWV224" s="39"/>
      <c r="BWW224" s="34"/>
      <c r="BWX224" s="34"/>
      <c r="BWY224" s="34"/>
      <c r="BWZ224" s="35"/>
      <c r="BXA224" s="35"/>
      <c r="BXB224" s="35"/>
      <c r="BXC224" s="35"/>
      <c r="BXD224" s="35"/>
      <c r="BXE224" s="34"/>
      <c r="BXF224" s="34"/>
      <c r="BXG224" s="36"/>
      <c r="BXH224" s="36"/>
      <c r="BXI224" s="37"/>
      <c r="BXJ224" s="37"/>
      <c r="BXK224" s="38"/>
      <c r="BXL224" s="38"/>
      <c r="BXM224" s="39"/>
      <c r="BXN224" s="34"/>
      <c r="BXO224" s="34"/>
      <c r="BXP224" s="34"/>
      <c r="BXQ224" s="35"/>
      <c r="BXR224" s="35"/>
      <c r="BXS224" s="35"/>
      <c r="BXT224" s="35"/>
      <c r="BXU224" s="35"/>
      <c r="BXV224" s="34"/>
      <c r="BXW224" s="34"/>
      <c r="BXX224" s="36"/>
      <c r="BXY224" s="36"/>
      <c r="BXZ224" s="37"/>
      <c r="BYA224" s="37"/>
      <c r="BYB224" s="38"/>
      <c r="BYC224" s="38"/>
      <c r="BYD224" s="39"/>
      <c r="BYE224" s="34"/>
      <c r="BYF224" s="34"/>
      <c r="BYG224" s="34"/>
      <c r="BYH224" s="35"/>
      <c r="BYI224" s="35"/>
      <c r="BYJ224" s="35"/>
      <c r="BYK224" s="35"/>
      <c r="BYL224" s="35"/>
      <c r="BYM224" s="34"/>
      <c r="BYN224" s="34"/>
      <c r="BYO224" s="36"/>
      <c r="BYP224" s="36"/>
      <c r="BYQ224" s="37"/>
      <c r="BYR224" s="37"/>
      <c r="BYS224" s="38"/>
      <c r="BYT224" s="38"/>
      <c r="BYU224" s="39"/>
      <c r="BYV224" s="34"/>
      <c r="BYW224" s="34"/>
      <c r="BYX224" s="34"/>
      <c r="BYY224" s="35"/>
      <c r="BYZ224" s="35"/>
      <c r="BZA224" s="35"/>
      <c r="BZB224" s="35"/>
      <c r="BZC224" s="35"/>
      <c r="BZD224" s="34"/>
      <c r="BZE224" s="34"/>
      <c r="BZF224" s="36"/>
      <c r="BZG224" s="36"/>
      <c r="BZH224" s="37"/>
      <c r="BZI224" s="37"/>
      <c r="BZJ224" s="38"/>
      <c r="BZK224" s="38"/>
      <c r="BZL224" s="39"/>
      <c r="BZM224" s="34"/>
      <c r="BZN224" s="34"/>
      <c r="BZO224" s="34"/>
      <c r="BZP224" s="35"/>
      <c r="BZQ224" s="35"/>
      <c r="BZR224" s="35"/>
      <c r="BZS224" s="35"/>
      <c r="BZT224" s="35"/>
      <c r="BZU224" s="34"/>
      <c r="BZV224" s="34"/>
      <c r="BZW224" s="36"/>
      <c r="BZX224" s="36"/>
      <c r="BZY224" s="37"/>
      <c r="BZZ224" s="37"/>
      <c r="CAA224" s="38"/>
      <c r="CAB224" s="38"/>
      <c r="CAC224" s="39"/>
      <c r="CAD224" s="34"/>
      <c r="CAE224" s="34"/>
      <c r="CAF224" s="34"/>
      <c r="CAG224" s="35"/>
      <c r="CAH224" s="35"/>
      <c r="CAI224" s="35"/>
      <c r="CAJ224" s="35"/>
      <c r="CAK224" s="35"/>
      <c r="CAL224" s="34"/>
      <c r="CAM224" s="34"/>
      <c r="CAN224" s="36"/>
      <c r="CAO224" s="36"/>
      <c r="CAP224" s="37"/>
      <c r="CAQ224" s="37"/>
      <c r="CAR224" s="38"/>
      <c r="CAS224" s="38"/>
      <c r="CAT224" s="39"/>
      <c r="CAU224" s="34"/>
      <c r="CAV224" s="34"/>
      <c r="CAW224" s="34"/>
      <c r="CAX224" s="35"/>
      <c r="CAY224" s="35"/>
      <c r="CAZ224" s="35"/>
      <c r="CBA224" s="35"/>
      <c r="CBB224" s="35"/>
      <c r="CBC224" s="34"/>
      <c r="CBD224" s="34"/>
      <c r="CBE224" s="36"/>
      <c r="CBF224" s="36"/>
      <c r="CBG224" s="37"/>
      <c r="CBH224" s="37"/>
      <c r="CBI224" s="38"/>
      <c r="CBJ224" s="38"/>
      <c r="CBK224" s="39"/>
      <c r="CBL224" s="34"/>
      <c r="CBM224" s="34"/>
      <c r="CBN224" s="34"/>
      <c r="CBO224" s="35"/>
      <c r="CBP224" s="35"/>
      <c r="CBQ224" s="35"/>
      <c r="CBR224" s="35"/>
      <c r="CBS224" s="35"/>
      <c r="CBT224" s="34"/>
      <c r="CBU224" s="34"/>
      <c r="CBV224" s="36"/>
      <c r="CBW224" s="36"/>
      <c r="CBX224" s="37"/>
      <c r="CBY224" s="37"/>
      <c r="CBZ224" s="38"/>
      <c r="CCA224" s="38"/>
      <c r="CCB224" s="39"/>
      <c r="CCC224" s="34"/>
      <c r="CCD224" s="34"/>
      <c r="CCE224" s="34"/>
      <c r="CCF224" s="35"/>
      <c r="CCG224" s="35"/>
      <c r="CCH224" s="35"/>
      <c r="CCI224" s="35"/>
      <c r="CCJ224" s="35"/>
      <c r="CCK224" s="34"/>
      <c r="CCL224" s="34"/>
      <c r="CCM224" s="36"/>
      <c r="CCN224" s="36"/>
      <c r="CCO224" s="37"/>
      <c r="CCP224" s="37"/>
      <c r="CCQ224" s="38"/>
      <c r="CCR224" s="38"/>
      <c r="CCS224" s="39"/>
      <c r="CCT224" s="34"/>
      <c r="CCU224" s="34"/>
      <c r="CCV224" s="34"/>
      <c r="CCW224" s="35"/>
      <c r="CCX224" s="35"/>
      <c r="CCY224" s="35"/>
      <c r="CCZ224" s="35"/>
      <c r="CDA224" s="35"/>
      <c r="CDB224" s="34"/>
      <c r="CDC224" s="34"/>
      <c r="CDD224" s="36"/>
      <c r="CDE224" s="36"/>
      <c r="CDF224" s="37"/>
      <c r="CDG224" s="37"/>
      <c r="CDH224" s="38"/>
      <c r="CDI224" s="38"/>
      <c r="CDJ224" s="39"/>
      <c r="CDK224" s="34"/>
      <c r="CDL224" s="34"/>
      <c r="CDM224" s="34"/>
      <c r="CDN224" s="35"/>
      <c r="CDO224" s="35"/>
      <c r="CDP224" s="35"/>
      <c r="CDQ224" s="35"/>
      <c r="CDR224" s="35"/>
      <c r="CDS224" s="34"/>
      <c r="CDT224" s="34"/>
      <c r="CDU224" s="36"/>
      <c r="CDV224" s="36"/>
      <c r="CDW224" s="37"/>
      <c r="CDX224" s="37"/>
      <c r="CDY224" s="38"/>
      <c r="CDZ224" s="38"/>
      <c r="CEA224" s="39"/>
      <c r="CEB224" s="34"/>
      <c r="CEC224" s="34"/>
      <c r="CED224" s="34"/>
      <c r="CEE224" s="35"/>
      <c r="CEF224" s="35"/>
      <c r="CEG224" s="35"/>
      <c r="CEH224" s="35"/>
      <c r="CEI224" s="35"/>
      <c r="CEJ224" s="34"/>
      <c r="CEK224" s="34"/>
      <c r="CEL224" s="36"/>
      <c r="CEM224" s="36"/>
      <c r="CEN224" s="37"/>
      <c r="CEO224" s="37"/>
      <c r="CEP224" s="38"/>
      <c r="CEQ224" s="38"/>
      <c r="CER224" s="39"/>
      <c r="CES224" s="34"/>
      <c r="CET224" s="34"/>
      <c r="CEU224" s="34"/>
      <c r="CEV224" s="35"/>
      <c r="CEW224" s="35"/>
      <c r="CEX224" s="35"/>
      <c r="CEY224" s="35"/>
      <c r="CEZ224" s="35"/>
      <c r="CFA224" s="34"/>
      <c r="CFB224" s="34"/>
      <c r="CFC224" s="36"/>
      <c r="CFD224" s="36"/>
      <c r="CFE224" s="37"/>
      <c r="CFF224" s="37"/>
      <c r="CFG224" s="38"/>
      <c r="CFH224" s="38"/>
      <c r="CFI224" s="39"/>
      <c r="CFJ224" s="34"/>
      <c r="CFK224" s="34"/>
      <c r="CFL224" s="34"/>
      <c r="CFM224" s="35"/>
      <c r="CFN224" s="35"/>
      <c r="CFO224" s="35"/>
      <c r="CFP224" s="35"/>
      <c r="CFQ224" s="35"/>
      <c r="CFR224" s="34"/>
      <c r="CFS224" s="34"/>
      <c r="CFT224" s="36"/>
      <c r="CFU224" s="36"/>
      <c r="CFV224" s="37"/>
      <c r="CFW224" s="37"/>
      <c r="CFX224" s="38"/>
      <c r="CFY224" s="38"/>
      <c r="CFZ224" s="39"/>
      <c r="CGA224" s="34"/>
      <c r="CGB224" s="34"/>
      <c r="CGC224" s="34"/>
      <c r="CGD224" s="35"/>
      <c r="CGE224" s="35"/>
      <c r="CGF224" s="35"/>
      <c r="CGG224" s="35"/>
      <c r="CGH224" s="35"/>
      <c r="CGI224" s="34"/>
      <c r="CGJ224" s="34"/>
      <c r="CGK224" s="36"/>
      <c r="CGL224" s="36"/>
      <c r="CGM224" s="37"/>
      <c r="CGN224" s="37"/>
      <c r="CGO224" s="38"/>
      <c r="CGP224" s="38"/>
      <c r="CGQ224" s="39"/>
      <c r="CGR224" s="34"/>
      <c r="CGS224" s="34"/>
      <c r="CGT224" s="34"/>
      <c r="CGU224" s="35"/>
      <c r="CGV224" s="35"/>
      <c r="CGW224" s="35"/>
      <c r="CGX224" s="35"/>
      <c r="CGY224" s="35"/>
      <c r="CGZ224" s="34"/>
      <c r="CHA224" s="34"/>
      <c r="CHB224" s="36"/>
      <c r="CHC224" s="36"/>
      <c r="CHD224" s="37"/>
      <c r="CHE224" s="37"/>
      <c r="CHF224" s="38"/>
      <c r="CHG224" s="38"/>
      <c r="CHH224" s="39"/>
      <c r="CHI224" s="34"/>
      <c r="CHJ224" s="34"/>
      <c r="CHK224" s="34"/>
      <c r="CHL224" s="35"/>
      <c r="CHM224" s="35"/>
      <c r="CHN224" s="35"/>
      <c r="CHO224" s="35"/>
      <c r="CHP224" s="35"/>
      <c r="CHQ224" s="34"/>
      <c r="CHR224" s="34"/>
      <c r="CHS224" s="36"/>
      <c r="CHT224" s="36"/>
      <c r="CHU224" s="37"/>
      <c r="CHV224" s="37"/>
      <c r="CHW224" s="38"/>
      <c r="CHX224" s="38"/>
      <c r="CHY224" s="39"/>
      <c r="CHZ224" s="34"/>
      <c r="CIA224" s="34"/>
      <c r="CIB224" s="34"/>
      <c r="CIC224" s="35"/>
      <c r="CID224" s="35"/>
      <c r="CIE224" s="35"/>
      <c r="CIF224" s="35"/>
      <c r="CIG224" s="35"/>
      <c r="CIH224" s="34"/>
      <c r="CII224" s="34"/>
      <c r="CIJ224" s="36"/>
      <c r="CIK224" s="36"/>
      <c r="CIL224" s="37"/>
      <c r="CIM224" s="37"/>
      <c r="CIN224" s="38"/>
      <c r="CIO224" s="38"/>
      <c r="CIP224" s="39"/>
      <c r="CIQ224" s="34"/>
      <c r="CIR224" s="34"/>
      <c r="CIS224" s="34"/>
      <c r="CIT224" s="35"/>
      <c r="CIU224" s="35"/>
      <c r="CIV224" s="35"/>
      <c r="CIW224" s="35"/>
      <c r="CIX224" s="35"/>
      <c r="CIY224" s="34"/>
      <c r="CIZ224" s="34"/>
      <c r="CJA224" s="36"/>
      <c r="CJB224" s="36"/>
      <c r="CJC224" s="37"/>
      <c r="CJD224" s="37"/>
      <c r="CJE224" s="38"/>
      <c r="CJF224" s="38"/>
      <c r="CJG224" s="39"/>
      <c r="CJH224" s="34"/>
      <c r="CJI224" s="34"/>
      <c r="CJJ224" s="34"/>
      <c r="CJK224" s="35"/>
      <c r="CJL224" s="35"/>
      <c r="CJM224" s="35"/>
      <c r="CJN224" s="35"/>
      <c r="CJO224" s="35"/>
      <c r="CJP224" s="34"/>
      <c r="CJQ224" s="34"/>
      <c r="CJR224" s="36"/>
      <c r="CJS224" s="36"/>
      <c r="CJT224" s="37"/>
      <c r="CJU224" s="37"/>
      <c r="CJV224" s="38"/>
      <c r="CJW224" s="38"/>
      <c r="CJX224" s="39"/>
      <c r="CJY224" s="34"/>
      <c r="CJZ224" s="34"/>
      <c r="CKA224" s="34"/>
      <c r="CKB224" s="35"/>
      <c r="CKC224" s="35"/>
      <c r="CKD224" s="35"/>
      <c r="CKE224" s="35"/>
      <c r="CKF224" s="35"/>
      <c r="CKG224" s="34"/>
      <c r="CKH224" s="34"/>
      <c r="CKI224" s="36"/>
      <c r="CKJ224" s="36"/>
      <c r="CKK224" s="37"/>
      <c r="CKL224" s="37"/>
      <c r="CKM224" s="38"/>
      <c r="CKN224" s="38"/>
      <c r="CKO224" s="39"/>
      <c r="CKP224" s="34"/>
      <c r="CKQ224" s="34"/>
      <c r="CKR224" s="34"/>
      <c r="CKS224" s="35"/>
      <c r="CKT224" s="35"/>
      <c r="CKU224" s="35"/>
      <c r="CKV224" s="35"/>
      <c r="CKW224" s="35"/>
      <c r="CKX224" s="34"/>
      <c r="CKY224" s="34"/>
      <c r="CKZ224" s="36"/>
      <c r="CLA224" s="36"/>
      <c r="CLB224" s="37"/>
      <c r="CLC224" s="37"/>
      <c r="CLD224" s="38"/>
      <c r="CLE224" s="38"/>
      <c r="CLF224" s="39"/>
      <c r="CLG224" s="34"/>
      <c r="CLH224" s="34"/>
      <c r="CLI224" s="34"/>
      <c r="CLJ224" s="35"/>
      <c r="CLK224" s="35"/>
      <c r="CLL224" s="35"/>
      <c r="CLM224" s="35"/>
      <c r="CLN224" s="35"/>
      <c r="CLO224" s="34"/>
      <c r="CLP224" s="34"/>
      <c r="CLQ224" s="36"/>
      <c r="CLR224" s="36"/>
      <c r="CLS224" s="37"/>
      <c r="CLT224" s="37"/>
      <c r="CLU224" s="38"/>
      <c r="CLV224" s="38"/>
      <c r="CLW224" s="39"/>
      <c r="CLX224" s="34"/>
      <c r="CLY224" s="34"/>
      <c r="CLZ224" s="34"/>
      <c r="CMA224" s="35"/>
      <c r="CMB224" s="35"/>
      <c r="CMC224" s="35"/>
      <c r="CMD224" s="35"/>
      <c r="CME224" s="35"/>
      <c r="CMF224" s="34"/>
      <c r="CMG224" s="34"/>
      <c r="CMH224" s="36"/>
      <c r="CMI224" s="36"/>
      <c r="CMJ224" s="37"/>
      <c r="CMK224" s="37"/>
      <c r="CML224" s="38"/>
      <c r="CMM224" s="38"/>
      <c r="CMN224" s="39"/>
      <c r="CMO224" s="34"/>
      <c r="CMP224" s="34"/>
      <c r="CMQ224" s="34"/>
      <c r="CMR224" s="35"/>
      <c r="CMS224" s="35"/>
      <c r="CMT224" s="35"/>
      <c r="CMU224" s="35"/>
      <c r="CMV224" s="35"/>
      <c r="CMW224" s="34"/>
      <c r="CMX224" s="34"/>
      <c r="CMY224" s="36"/>
      <c r="CMZ224" s="36"/>
      <c r="CNA224" s="37"/>
      <c r="CNB224" s="37"/>
      <c r="CNC224" s="38"/>
      <c r="CND224" s="38"/>
      <c r="CNE224" s="39"/>
      <c r="CNF224" s="34"/>
      <c r="CNG224" s="34"/>
      <c r="CNH224" s="34"/>
      <c r="CNI224" s="35"/>
      <c r="CNJ224" s="35"/>
      <c r="CNK224" s="35"/>
      <c r="CNL224" s="35"/>
      <c r="CNM224" s="35"/>
      <c r="CNN224" s="34"/>
      <c r="CNO224" s="34"/>
      <c r="CNP224" s="36"/>
      <c r="CNQ224" s="36"/>
      <c r="CNR224" s="37"/>
      <c r="CNS224" s="37"/>
      <c r="CNT224" s="38"/>
      <c r="CNU224" s="38"/>
      <c r="CNV224" s="39"/>
      <c r="CNW224" s="34"/>
      <c r="CNX224" s="34"/>
      <c r="CNY224" s="34"/>
      <c r="CNZ224" s="35"/>
      <c r="COA224" s="35"/>
      <c r="COB224" s="35"/>
      <c r="COC224" s="35"/>
      <c r="COD224" s="35"/>
      <c r="COE224" s="34"/>
      <c r="COF224" s="34"/>
      <c r="COG224" s="36"/>
      <c r="COH224" s="36"/>
      <c r="COI224" s="37"/>
      <c r="COJ224" s="37"/>
      <c r="COK224" s="38"/>
      <c r="COL224" s="38"/>
      <c r="COM224" s="39"/>
      <c r="CON224" s="34"/>
      <c r="COO224" s="34"/>
      <c r="COP224" s="34"/>
      <c r="COQ224" s="35"/>
      <c r="COR224" s="35"/>
      <c r="COS224" s="35"/>
      <c r="COT224" s="35"/>
      <c r="COU224" s="35"/>
      <c r="COV224" s="34"/>
      <c r="COW224" s="34"/>
      <c r="COX224" s="36"/>
      <c r="COY224" s="36"/>
      <c r="COZ224" s="37"/>
      <c r="CPA224" s="37"/>
      <c r="CPB224" s="38"/>
      <c r="CPC224" s="38"/>
      <c r="CPD224" s="39"/>
      <c r="CPE224" s="34"/>
      <c r="CPF224" s="34"/>
      <c r="CPG224" s="34"/>
      <c r="CPH224" s="35"/>
      <c r="CPI224" s="35"/>
      <c r="CPJ224" s="35"/>
      <c r="CPK224" s="35"/>
      <c r="CPL224" s="35"/>
      <c r="CPM224" s="34"/>
      <c r="CPN224" s="34"/>
      <c r="CPO224" s="36"/>
      <c r="CPP224" s="36"/>
      <c r="CPQ224" s="37"/>
      <c r="CPR224" s="37"/>
      <c r="CPS224" s="38"/>
      <c r="CPT224" s="38"/>
      <c r="CPU224" s="39"/>
      <c r="CPV224" s="34"/>
      <c r="CPW224" s="34"/>
      <c r="CPX224" s="34"/>
      <c r="CPY224" s="35"/>
      <c r="CPZ224" s="35"/>
      <c r="CQA224" s="35"/>
      <c r="CQB224" s="35"/>
      <c r="CQC224" s="35"/>
      <c r="CQD224" s="34"/>
      <c r="CQE224" s="34"/>
      <c r="CQF224" s="36"/>
      <c r="CQG224" s="36"/>
      <c r="CQH224" s="37"/>
      <c r="CQI224" s="37"/>
      <c r="CQJ224" s="38"/>
      <c r="CQK224" s="38"/>
      <c r="CQL224" s="39"/>
      <c r="CQM224" s="34"/>
      <c r="CQN224" s="34"/>
      <c r="CQO224" s="34"/>
      <c r="CQP224" s="35"/>
      <c r="CQQ224" s="35"/>
      <c r="CQR224" s="35"/>
      <c r="CQS224" s="35"/>
      <c r="CQT224" s="35"/>
      <c r="CQU224" s="34"/>
      <c r="CQV224" s="34"/>
      <c r="CQW224" s="36"/>
      <c r="CQX224" s="36"/>
      <c r="CQY224" s="37"/>
      <c r="CQZ224" s="37"/>
      <c r="CRA224" s="38"/>
      <c r="CRB224" s="38"/>
      <c r="CRC224" s="39"/>
      <c r="CRD224" s="34"/>
      <c r="CRE224" s="34"/>
      <c r="CRF224" s="34"/>
      <c r="CRG224" s="35"/>
      <c r="CRH224" s="35"/>
      <c r="CRI224" s="35"/>
      <c r="CRJ224" s="35"/>
      <c r="CRK224" s="35"/>
      <c r="CRL224" s="34"/>
      <c r="CRM224" s="34"/>
      <c r="CRN224" s="36"/>
      <c r="CRO224" s="36"/>
      <c r="CRP224" s="37"/>
      <c r="CRQ224" s="37"/>
      <c r="CRR224" s="38"/>
      <c r="CRS224" s="38"/>
      <c r="CRT224" s="39"/>
      <c r="CRU224" s="34"/>
      <c r="CRV224" s="34"/>
      <c r="CRW224" s="34"/>
      <c r="CRX224" s="35"/>
      <c r="CRY224" s="35"/>
      <c r="CRZ224" s="35"/>
      <c r="CSA224" s="35"/>
      <c r="CSB224" s="35"/>
      <c r="CSC224" s="34"/>
      <c r="CSD224" s="34"/>
      <c r="CSE224" s="36"/>
      <c r="CSF224" s="36"/>
      <c r="CSG224" s="37"/>
      <c r="CSH224" s="37"/>
      <c r="CSI224" s="38"/>
      <c r="CSJ224" s="38"/>
      <c r="CSK224" s="39"/>
      <c r="CSL224" s="34"/>
      <c r="CSM224" s="34"/>
      <c r="CSN224" s="34"/>
      <c r="CSO224" s="35"/>
      <c r="CSP224" s="35"/>
      <c r="CSQ224" s="35"/>
      <c r="CSR224" s="35"/>
      <c r="CSS224" s="35"/>
      <c r="CST224" s="34"/>
      <c r="CSU224" s="34"/>
      <c r="CSV224" s="36"/>
      <c r="CSW224" s="36"/>
      <c r="CSX224" s="37"/>
      <c r="CSY224" s="37"/>
      <c r="CSZ224" s="38"/>
      <c r="CTA224" s="38"/>
      <c r="CTB224" s="39"/>
      <c r="CTC224" s="34"/>
      <c r="CTD224" s="34"/>
      <c r="CTE224" s="34"/>
      <c r="CTF224" s="35"/>
      <c r="CTG224" s="35"/>
      <c r="CTH224" s="35"/>
      <c r="CTI224" s="35"/>
      <c r="CTJ224" s="35"/>
      <c r="CTK224" s="34"/>
      <c r="CTL224" s="34"/>
      <c r="CTM224" s="36"/>
      <c r="CTN224" s="36"/>
      <c r="CTO224" s="37"/>
      <c r="CTP224" s="37"/>
      <c r="CTQ224" s="38"/>
      <c r="CTR224" s="38"/>
      <c r="CTS224" s="39"/>
      <c r="CTT224" s="34"/>
      <c r="CTU224" s="34"/>
      <c r="CTV224" s="34"/>
      <c r="CTW224" s="35"/>
      <c r="CTX224" s="35"/>
      <c r="CTY224" s="35"/>
      <c r="CTZ224" s="35"/>
      <c r="CUA224" s="35"/>
      <c r="CUB224" s="34"/>
      <c r="CUC224" s="34"/>
      <c r="CUD224" s="36"/>
      <c r="CUE224" s="36"/>
      <c r="CUF224" s="37"/>
      <c r="CUG224" s="37"/>
      <c r="CUH224" s="38"/>
      <c r="CUI224" s="38"/>
      <c r="CUJ224" s="39"/>
      <c r="CUK224" s="34"/>
      <c r="CUL224" s="34"/>
      <c r="CUM224" s="34"/>
      <c r="CUN224" s="35"/>
      <c r="CUO224" s="35"/>
      <c r="CUP224" s="35"/>
      <c r="CUQ224" s="35"/>
      <c r="CUR224" s="35"/>
      <c r="CUS224" s="34"/>
      <c r="CUT224" s="34"/>
      <c r="CUU224" s="36"/>
      <c r="CUV224" s="36"/>
      <c r="CUW224" s="37"/>
      <c r="CUX224" s="37"/>
      <c r="CUY224" s="38"/>
      <c r="CUZ224" s="38"/>
      <c r="CVA224" s="39"/>
      <c r="CVB224" s="34"/>
      <c r="CVC224" s="34"/>
      <c r="CVD224" s="34"/>
      <c r="CVE224" s="35"/>
      <c r="CVF224" s="35"/>
      <c r="CVG224" s="35"/>
      <c r="CVH224" s="35"/>
      <c r="CVI224" s="35"/>
      <c r="CVJ224" s="34"/>
      <c r="CVK224" s="34"/>
      <c r="CVL224" s="36"/>
      <c r="CVM224" s="36"/>
      <c r="CVN224" s="37"/>
      <c r="CVO224" s="37"/>
      <c r="CVP224" s="38"/>
      <c r="CVQ224" s="38"/>
      <c r="CVR224" s="39"/>
      <c r="CVS224" s="34"/>
      <c r="CVT224" s="34"/>
      <c r="CVU224" s="34"/>
      <c r="CVV224" s="35"/>
      <c r="CVW224" s="35"/>
      <c r="CVX224" s="35"/>
      <c r="CVY224" s="35"/>
      <c r="CVZ224" s="35"/>
      <c r="CWA224" s="34"/>
      <c r="CWB224" s="34"/>
      <c r="CWC224" s="36"/>
      <c r="CWD224" s="36"/>
      <c r="CWE224" s="37"/>
      <c r="CWF224" s="37"/>
      <c r="CWG224" s="38"/>
      <c r="CWH224" s="38"/>
      <c r="CWI224" s="39"/>
      <c r="CWJ224" s="34"/>
      <c r="CWK224" s="34"/>
      <c r="CWL224" s="34"/>
      <c r="CWM224" s="35"/>
      <c r="CWN224" s="35"/>
      <c r="CWO224" s="35"/>
      <c r="CWP224" s="35"/>
      <c r="CWQ224" s="35"/>
      <c r="CWR224" s="34"/>
      <c r="CWS224" s="34"/>
      <c r="CWT224" s="36"/>
      <c r="CWU224" s="36"/>
      <c r="CWV224" s="37"/>
      <c r="CWW224" s="37"/>
      <c r="CWX224" s="38"/>
      <c r="CWY224" s="38"/>
      <c r="CWZ224" s="39"/>
      <c r="CXA224" s="34"/>
      <c r="CXB224" s="34"/>
      <c r="CXC224" s="34"/>
      <c r="CXD224" s="35"/>
      <c r="CXE224" s="35"/>
      <c r="CXF224" s="35"/>
      <c r="CXG224" s="35"/>
      <c r="CXH224" s="35"/>
      <c r="CXI224" s="34"/>
      <c r="CXJ224" s="34"/>
      <c r="CXK224" s="36"/>
      <c r="CXL224" s="36"/>
      <c r="CXM224" s="37"/>
      <c r="CXN224" s="37"/>
      <c r="CXO224" s="38"/>
      <c r="CXP224" s="38"/>
      <c r="CXQ224" s="39"/>
      <c r="CXR224" s="34"/>
      <c r="CXS224" s="34"/>
      <c r="CXT224" s="34"/>
      <c r="CXU224" s="35"/>
      <c r="CXV224" s="35"/>
      <c r="CXW224" s="35"/>
      <c r="CXX224" s="35"/>
      <c r="CXY224" s="35"/>
      <c r="CXZ224" s="34"/>
      <c r="CYA224" s="34"/>
      <c r="CYB224" s="36"/>
      <c r="CYC224" s="36"/>
      <c r="CYD224" s="37"/>
      <c r="CYE224" s="37"/>
      <c r="CYF224" s="38"/>
      <c r="CYG224" s="38"/>
      <c r="CYH224" s="39"/>
      <c r="CYI224" s="34"/>
      <c r="CYJ224" s="34"/>
      <c r="CYK224" s="34"/>
      <c r="CYL224" s="35"/>
      <c r="CYM224" s="35"/>
      <c r="CYN224" s="35"/>
      <c r="CYO224" s="35"/>
      <c r="CYP224" s="35"/>
      <c r="CYQ224" s="34"/>
      <c r="CYR224" s="34"/>
      <c r="CYS224" s="36"/>
      <c r="CYT224" s="36"/>
      <c r="CYU224" s="37"/>
      <c r="CYV224" s="37"/>
      <c r="CYW224" s="38"/>
      <c r="CYX224" s="38"/>
      <c r="CYY224" s="39"/>
      <c r="CYZ224" s="34"/>
      <c r="CZA224" s="34"/>
      <c r="CZB224" s="34"/>
      <c r="CZC224" s="35"/>
      <c r="CZD224" s="35"/>
      <c r="CZE224" s="35"/>
      <c r="CZF224" s="35"/>
      <c r="CZG224" s="35"/>
      <c r="CZH224" s="34"/>
      <c r="CZI224" s="34"/>
      <c r="CZJ224" s="36"/>
      <c r="CZK224" s="36"/>
      <c r="CZL224" s="37"/>
      <c r="CZM224" s="37"/>
      <c r="CZN224" s="38"/>
      <c r="CZO224" s="38"/>
      <c r="CZP224" s="39"/>
      <c r="CZQ224" s="34"/>
      <c r="CZR224" s="34"/>
      <c r="CZS224" s="34"/>
      <c r="CZT224" s="35"/>
      <c r="CZU224" s="35"/>
      <c r="CZV224" s="35"/>
      <c r="CZW224" s="35"/>
      <c r="CZX224" s="35"/>
      <c r="CZY224" s="34"/>
      <c r="CZZ224" s="34"/>
      <c r="DAA224" s="36"/>
      <c r="DAB224" s="36"/>
      <c r="DAC224" s="37"/>
      <c r="DAD224" s="37"/>
      <c r="DAE224" s="38"/>
      <c r="DAF224" s="38"/>
      <c r="DAG224" s="39"/>
      <c r="DAH224" s="34"/>
      <c r="DAI224" s="34"/>
      <c r="DAJ224" s="34"/>
      <c r="DAK224" s="35"/>
      <c r="DAL224" s="35"/>
      <c r="DAM224" s="35"/>
      <c r="DAN224" s="35"/>
      <c r="DAO224" s="35"/>
      <c r="DAP224" s="34"/>
      <c r="DAQ224" s="34"/>
      <c r="DAR224" s="36"/>
      <c r="DAS224" s="36"/>
      <c r="DAT224" s="37"/>
      <c r="DAU224" s="37"/>
      <c r="DAV224" s="38"/>
      <c r="DAW224" s="38"/>
      <c r="DAX224" s="39"/>
      <c r="DAY224" s="34"/>
      <c r="DAZ224" s="34"/>
      <c r="DBA224" s="34"/>
      <c r="DBB224" s="35"/>
      <c r="DBC224" s="35"/>
      <c r="DBD224" s="35"/>
      <c r="DBE224" s="35"/>
      <c r="DBF224" s="35"/>
      <c r="DBG224" s="34"/>
      <c r="DBH224" s="34"/>
      <c r="DBI224" s="36"/>
      <c r="DBJ224" s="36"/>
      <c r="DBK224" s="37"/>
      <c r="DBL224" s="37"/>
      <c r="DBM224" s="38"/>
      <c r="DBN224" s="38"/>
      <c r="DBO224" s="39"/>
      <c r="DBP224" s="34"/>
      <c r="DBQ224" s="34"/>
      <c r="DBR224" s="34"/>
      <c r="DBS224" s="35"/>
      <c r="DBT224" s="35"/>
      <c r="DBU224" s="35"/>
      <c r="DBV224" s="35"/>
      <c r="DBW224" s="35"/>
      <c r="DBX224" s="34"/>
      <c r="DBY224" s="34"/>
      <c r="DBZ224" s="36"/>
      <c r="DCA224" s="36"/>
      <c r="DCB224" s="37"/>
      <c r="DCC224" s="37"/>
      <c r="DCD224" s="38"/>
      <c r="DCE224" s="38"/>
      <c r="DCF224" s="39"/>
      <c r="DCG224" s="34"/>
      <c r="DCH224" s="34"/>
      <c r="DCI224" s="34"/>
      <c r="DCJ224" s="35"/>
      <c r="DCK224" s="35"/>
      <c r="DCL224" s="35"/>
      <c r="DCM224" s="35"/>
      <c r="DCN224" s="35"/>
      <c r="DCO224" s="34"/>
      <c r="DCP224" s="34"/>
      <c r="DCQ224" s="36"/>
      <c r="DCR224" s="36"/>
      <c r="DCS224" s="37"/>
      <c r="DCT224" s="37"/>
      <c r="DCU224" s="38"/>
      <c r="DCV224" s="38"/>
      <c r="DCW224" s="39"/>
      <c r="DCX224" s="34"/>
      <c r="DCY224" s="34"/>
      <c r="DCZ224" s="34"/>
      <c r="DDA224" s="35"/>
      <c r="DDB224" s="35"/>
      <c r="DDC224" s="35"/>
      <c r="DDD224" s="35"/>
      <c r="DDE224" s="35"/>
      <c r="DDF224" s="34"/>
      <c r="DDG224" s="34"/>
      <c r="DDH224" s="36"/>
      <c r="DDI224" s="36"/>
      <c r="DDJ224" s="37"/>
      <c r="DDK224" s="37"/>
      <c r="DDL224" s="38"/>
      <c r="DDM224" s="38"/>
      <c r="DDN224" s="39"/>
      <c r="DDO224" s="34"/>
      <c r="DDP224" s="34"/>
      <c r="DDQ224" s="34"/>
      <c r="DDR224" s="35"/>
      <c r="DDS224" s="35"/>
      <c r="DDT224" s="35"/>
      <c r="DDU224" s="35"/>
      <c r="DDV224" s="35"/>
      <c r="DDW224" s="34"/>
      <c r="DDX224" s="34"/>
      <c r="DDY224" s="36"/>
      <c r="DDZ224" s="36"/>
      <c r="DEA224" s="37"/>
      <c r="DEB224" s="37"/>
      <c r="DEC224" s="38"/>
      <c r="DED224" s="38"/>
      <c r="DEE224" s="39"/>
      <c r="DEF224" s="34"/>
      <c r="DEG224" s="34"/>
      <c r="DEH224" s="34"/>
      <c r="DEI224" s="35"/>
      <c r="DEJ224" s="35"/>
      <c r="DEK224" s="35"/>
      <c r="DEL224" s="35"/>
      <c r="DEM224" s="35"/>
      <c r="DEN224" s="34"/>
      <c r="DEO224" s="34"/>
      <c r="DEP224" s="36"/>
      <c r="DEQ224" s="36"/>
      <c r="DER224" s="37"/>
      <c r="DES224" s="37"/>
      <c r="DET224" s="38"/>
      <c r="DEU224" s="38"/>
      <c r="DEV224" s="39"/>
      <c r="DEW224" s="34"/>
      <c r="DEX224" s="34"/>
      <c r="DEY224" s="34"/>
      <c r="DEZ224" s="35"/>
      <c r="DFA224" s="35"/>
      <c r="DFB224" s="35"/>
      <c r="DFC224" s="35"/>
      <c r="DFD224" s="35"/>
      <c r="DFE224" s="34"/>
      <c r="DFF224" s="34"/>
      <c r="DFG224" s="36"/>
      <c r="DFH224" s="36"/>
      <c r="DFI224" s="37"/>
      <c r="DFJ224" s="37"/>
      <c r="DFK224" s="38"/>
      <c r="DFL224" s="38"/>
      <c r="DFM224" s="39"/>
      <c r="DFN224" s="34"/>
      <c r="DFO224" s="34"/>
      <c r="DFP224" s="34"/>
      <c r="DFQ224" s="35"/>
      <c r="DFR224" s="35"/>
      <c r="DFS224" s="35"/>
      <c r="DFT224" s="35"/>
      <c r="DFU224" s="35"/>
      <c r="DFV224" s="34"/>
      <c r="DFW224" s="34"/>
      <c r="DFX224" s="36"/>
      <c r="DFY224" s="36"/>
      <c r="DFZ224" s="37"/>
      <c r="DGA224" s="37"/>
      <c r="DGB224" s="38"/>
      <c r="DGC224" s="38"/>
      <c r="DGD224" s="39"/>
      <c r="DGE224" s="34"/>
      <c r="DGF224" s="34"/>
      <c r="DGG224" s="34"/>
      <c r="DGH224" s="35"/>
      <c r="DGI224" s="35"/>
      <c r="DGJ224" s="35"/>
      <c r="DGK224" s="35"/>
      <c r="DGL224" s="35"/>
      <c r="DGM224" s="34"/>
      <c r="DGN224" s="34"/>
      <c r="DGO224" s="36"/>
      <c r="DGP224" s="36"/>
      <c r="DGQ224" s="37"/>
      <c r="DGR224" s="37"/>
      <c r="DGS224" s="38"/>
      <c r="DGT224" s="38"/>
      <c r="DGU224" s="39"/>
      <c r="DGV224" s="34"/>
      <c r="DGW224" s="34"/>
      <c r="DGX224" s="34"/>
      <c r="DGY224" s="35"/>
      <c r="DGZ224" s="35"/>
      <c r="DHA224" s="35"/>
      <c r="DHB224" s="35"/>
      <c r="DHC224" s="35"/>
      <c r="DHD224" s="34"/>
      <c r="DHE224" s="34"/>
      <c r="DHF224" s="36"/>
      <c r="DHG224" s="36"/>
      <c r="DHH224" s="37"/>
      <c r="DHI224" s="37"/>
      <c r="DHJ224" s="38"/>
      <c r="DHK224" s="38"/>
      <c r="DHL224" s="39"/>
      <c r="DHM224" s="34"/>
      <c r="DHN224" s="34"/>
      <c r="DHO224" s="34"/>
      <c r="DHP224" s="35"/>
      <c r="DHQ224" s="35"/>
      <c r="DHR224" s="35"/>
      <c r="DHS224" s="35"/>
      <c r="DHT224" s="35"/>
      <c r="DHU224" s="34"/>
      <c r="DHV224" s="34"/>
      <c r="DHW224" s="36"/>
      <c r="DHX224" s="36"/>
      <c r="DHY224" s="37"/>
      <c r="DHZ224" s="37"/>
      <c r="DIA224" s="38"/>
      <c r="DIB224" s="38"/>
      <c r="DIC224" s="39"/>
      <c r="DID224" s="34"/>
      <c r="DIE224" s="34"/>
      <c r="DIF224" s="34"/>
      <c r="DIG224" s="35"/>
      <c r="DIH224" s="35"/>
      <c r="DII224" s="35"/>
      <c r="DIJ224" s="35"/>
      <c r="DIK224" s="35"/>
      <c r="DIL224" s="34"/>
      <c r="DIM224" s="34"/>
      <c r="DIN224" s="36"/>
      <c r="DIO224" s="36"/>
      <c r="DIP224" s="37"/>
      <c r="DIQ224" s="37"/>
      <c r="DIR224" s="38"/>
      <c r="DIS224" s="38"/>
      <c r="DIT224" s="39"/>
      <c r="DIU224" s="34"/>
      <c r="DIV224" s="34"/>
      <c r="DIW224" s="34"/>
      <c r="DIX224" s="35"/>
      <c r="DIY224" s="35"/>
      <c r="DIZ224" s="35"/>
      <c r="DJA224" s="35"/>
      <c r="DJB224" s="35"/>
      <c r="DJC224" s="34"/>
      <c r="DJD224" s="34"/>
      <c r="DJE224" s="36"/>
      <c r="DJF224" s="36"/>
      <c r="DJG224" s="37"/>
      <c r="DJH224" s="37"/>
      <c r="DJI224" s="38"/>
      <c r="DJJ224" s="38"/>
      <c r="DJK224" s="39"/>
      <c r="DJL224" s="34"/>
      <c r="DJM224" s="34"/>
      <c r="DJN224" s="34"/>
      <c r="DJO224" s="35"/>
      <c r="DJP224" s="35"/>
      <c r="DJQ224" s="35"/>
      <c r="DJR224" s="35"/>
      <c r="DJS224" s="35"/>
      <c r="DJT224" s="34"/>
      <c r="DJU224" s="34"/>
      <c r="DJV224" s="36"/>
      <c r="DJW224" s="36"/>
      <c r="DJX224" s="37"/>
      <c r="DJY224" s="37"/>
      <c r="DJZ224" s="38"/>
      <c r="DKA224" s="38"/>
      <c r="DKB224" s="39"/>
      <c r="DKC224" s="34"/>
      <c r="DKD224" s="34"/>
      <c r="DKE224" s="34"/>
      <c r="DKF224" s="35"/>
      <c r="DKG224" s="35"/>
      <c r="DKH224" s="35"/>
      <c r="DKI224" s="35"/>
      <c r="DKJ224" s="35"/>
      <c r="DKK224" s="34"/>
      <c r="DKL224" s="34"/>
      <c r="DKM224" s="36"/>
      <c r="DKN224" s="36"/>
      <c r="DKO224" s="37"/>
      <c r="DKP224" s="37"/>
      <c r="DKQ224" s="38"/>
      <c r="DKR224" s="38"/>
      <c r="DKS224" s="39"/>
      <c r="DKT224" s="34"/>
      <c r="DKU224" s="34"/>
      <c r="DKV224" s="34"/>
      <c r="DKW224" s="35"/>
      <c r="DKX224" s="35"/>
      <c r="DKY224" s="35"/>
      <c r="DKZ224" s="35"/>
      <c r="DLA224" s="35"/>
      <c r="DLB224" s="34"/>
      <c r="DLC224" s="34"/>
      <c r="DLD224" s="36"/>
      <c r="DLE224" s="36"/>
      <c r="DLF224" s="37"/>
      <c r="DLG224" s="37"/>
      <c r="DLH224" s="38"/>
      <c r="DLI224" s="38"/>
      <c r="DLJ224" s="39"/>
      <c r="DLK224" s="34"/>
      <c r="DLL224" s="34"/>
      <c r="DLM224" s="34"/>
      <c r="DLN224" s="35"/>
      <c r="DLO224" s="35"/>
      <c r="DLP224" s="35"/>
      <c r="DLQ224" s="35"/>
      <c r="DLR224" s="35"/>
      <c r="DLS224" s="34"/>
      <c r="DLT224" s="34"/>
      <c r="DLU224" s="36"/>
      <c r="DLV224" s="36"/>
      <c r="DLW224" s="37"/>
      <c r="DLX224" s="37"/>
      <c r="DLY224" s="38"/>
      <c r="DLZ224" s="38"/>
      <c r="DMA224" s="39"/>
      <c r="DMB224" s="34"/>
      <c r="DMC224" s="34"/>
      <c r="DMD224" s="34"/>
      <c r="DME224" s="35"/>
      <c r="DMF224" s="35"/>
      <c r="DMG224" s="35"/>
      <c r="DMH224" s="35"/>
      <c r="DMI224" s="35"/>
      <c r="DMJ224" s="34"/>
      <c r="DMK224" s="34"/>
      <c r="DML224" s="36"/>
      <c r="DMM224" s="36"/>
      <c r="DMN224" s="37"/>
      <c r="DMO224" s="37"/>
      <c r="DMP224" s="38"/>
      <c r="DMQ224" s="38"/>
      <c r="DMR224" s="39"/>
      <c r="DMS224" s="34"/>
      <c r="DMT224" s="34"/>
      <c r="DMU224" s="34"/>
      <c r="DMV224" s="35"/>
      <c r="DMW224" s="35"/>
      <c r="DMX224" s="35"/>
      <c r="DMY224" s="35"/>
      <c r="DMZ224" s="35"/>
      <c r="DNA224" s="34"/>
      <c r="DNB224" s="34"/>
      <c r="DNC224" s="36"/>
      <c r="DND224" s="36"/>
      <c r="DNE224" s="37"/>
      <c r="DNF224" s="37"/>
      <c r="DNG224" s="38"/>
      <c r="DNH224" s="38"/>
      <c r="DNI224" s="39"/>
      <c r="DNJ224" s="34"/>
      <c r="DNK224" s="34"/>
      <c r="DNL224" s="34"/>
      <c r="DNM224" s="35"/>
      <c r="DNN224" s="35"/>
      <c r="DNO224" s="35"/>
      <c r="DNP224" s="35"/>
      <c r="DNQ224" s="35"/>
      <c r="DNR224" s="34"/>
      <c r="DNS224" s="34"/>
      <c r="DNT224" s="36"/>
      <c r="DNU224" s="36"/>
      <c r="DNV224" s="37"/>
      <c r="DNW224" s="37"/>
      <c r="DNX224" s="38"/>
      <c r="DNY224" s="38"/>
      <c r="DNZ224" s="39"/>
      <c r="DOA224" s="34"/>
      <c r="DOB224" s="34"/>
      <c r="DOC224" s="34"/>
      <c r="DOD224" s="35"/>
      <c r="DOE224" s="35"/>
      <c r="DOF224" s="35"/>
      <c r="DOG224" s="35"/>
      <c r="DOH224" s="35"/>
      <c r="DOI224" s="34"/>
      <c r="DOJ224" s="34"/>
      <c r="DOK224" s="36"/>
      <c r="DOL224" s="36"/>
      <c r="DOM224" s="37"/>
      <c r="DON224" s="37"/>
      <c r="DOO224" s="38"/>
      <c r="DOP224" s="38"/>
      <c r="DOQ224" s="39"/>
      <c r="DOR224" s="34"/>
      <c r="DOS224" s="34"/>
      <c r="DOT224" s="34"/>
      <c r="DOU224" s="35"/>
      <c r="DOV224" s="35"/>
      <c r="DOW224" s="35"/>
      <c r="DOX224" s="35"/>
      <c r="DOY224" s="35"/>
      <c r="DOZ224" s="34"/>
      <c r="DPA224" s="34"/>
      <c r="DPB224" s="36"/>
      <c r="DPC224" s="36"/>
      <c r="DPD224" s="37"/>
      <c r="DPE224" s="37"/>
      <c r="DPF224" s="38"/>
      <c r="DPG224" s="38"/>
      <c r="DPH224" s="39"/>
      <c r="DPI224" s="34"/>
      <c r="DPJ224" s="34"/>
      <c r="DPK224" s="34"/>
      <c r="DPL224" s="35"/>
      <c r="DPM224" s="35"/>
      <c r="DPN224" s="35"/>
      <c r="DPO224" s="35"/>
      <c r="DPP224" s="35"/>
      <c r="DPQ224" s="34"/>
      <c r="DPR224" s="34"/>
      <c r="DPS224" s="36"/>
      <c r="DPT224" s="36"/>
      <c r="DPU224" s="37"/>
      <c r="DPV224" s="37"/>
      <c r="DPW224" s="38"/>
      <c r="DPX224" s="38"/>
      <c r="DPY224" s="39"/>
      <c r="DPZ224" s="34"/>
      <c r="DQA224" s="34"/>
      <c r="DQB224" s="34"/>
      <c r="DQC224" s="35"/>
      <c r="DQD224" s="35"/>
      <c r="DQE224" s="35"/>
      <c r="DQF224" s="35"/>
      <c r="DQG224" s="35"/>
      <c r="DQH224" s="34"/>
      <c r="DQI224" s="34"/>
      <c r="DQJ224" s="36"/>
      <c r="DQK224" s="36"/>
      <c r="DQL224" s="37"/>
      <c r="DQM224" s="37"/>
      <c r="DQN224" s="38"/>
      <c r="DQO224" s="38"/>
      <c r="DQP224" s="39"/>
      <c r="DQQ224" s="34"/>
      <c r="DQR224" s="34"/>
      <c r="DQS224" s="34"/>
      <c r="DQT224" s="35"/>
      <c r="DQU224" s="35"/>
      <c r="DQV224" s="35"/>
      <c r="DQW224" s="35"/>
      <c r="DQX224" s="35"/>
      <c r="DQY224" s="34"/>
      <c r="DQZ224" s="34"/>
      <c r="DRA224" s="36"/>
      <c r="DRB224" s="36"/>
      <c r="DRC224" s="37"/>
      <c r="DRD224" s="37"/>
      <c r="DRE224" s="38"/>
      <c r="DRF224" s="38"/>
      <c r="DRG224" s="39"/>
      <c r="DRH224" s="34"/>
      <c r="DRI224" s="34"/>
      <c r="DRJ224" s="34"/>
      <c r="DRK224" s="35"/>
      <c r="DRL224" s="35"/>
      <c r="DRM224" s="35"/>
      <c r="DRN224" s="35"/>
      <c r="DRO224" s="35"/>
      <c r="DRP224" s="34"/>
      <c r="DRQ224" s="34"/>
      <c r="DRR224" s="36"/>
      <c r="DRS224" s="36"/>
      <c r="DRT224" s="37"/>
      <c r="DRU224" s="37"/>
      <c r="DRV224" s="38"/>
      <c r="DRW224" s="38"/>
      <c r="DRX224" s="39"/>
      <c r="DRY224" s="34"/>
      <c r="DRZ224" s="34"/>
      <c r="DSA224" s="34"/>
      <c r="DSB224" s="35"/>
      <c r="DSC224" s="35"/>
      <c r="DSD224" s="35"/>
      <c r="DSE224" s="35"/>
      <c r="DSF224" s="35"/>
      <c r="DSG224" s="34"/>
      <c r="DSH224" s="34"/>
      <c r="DSI224" s="36"/>
      <c r="DSJ224" s="36"/>
      <c r="DSK224" s="37"/>
      <c r="DSL224" s="37"/>
      <c r="DSM224" s="38"/>
      <c r="DSN224" s="38"/>
      <c r="DSO224" s="39"/>
      <c r="DSP224" s="34"/>
      <c r="DSQ224" s="34"/>
      <c r="DSR224" s="34"/>
      <c r="DSS224" s="35"/>
      <c r="DST224" s="35"/>
      <c r="DSU224" s="35"/>
      <c r="DSV224" s="35"/>
      <c r="DSW224" s="35"/>
      <c r="DSX224" s="34"/>
      <c r="DSY224" s="34"/>
      <c r="DSZ224" s="36"/>
      <c r="DTA224" s="36"/>
      <c r="DTB224" s="37"/>
      <c r="DTC224" s="37"/>
      <c r="DTD224" s="38"/>
      <c r="DTE224" s="38"/>
      <c r="DTF224" s="39"/>
      <c r="DTG224" s="34"/>
      <c r="DTH224" s="34"/>
      <c r="DTI224" s="34"/>
      <c r="DTJ224" s="35"/>
      <c r="DTK224" s="35"/>
      <c r="DTL224" s="35"/>
      <c r="DTM224" s="35"/>
      <c r="DTN224" s="35"/>
      <c r="DTO224" s="34"/>
      <c r="DTP224" s="34"/>
      <c r="DTQ224" s="36"/>
      <c r="DTR224" s="36"/>
      <c r="DTS224" s="37"/>
      <c r="DTT224" s="37"/>
      <c r="DTU224" s="38"/>
      <c r="DTV224" s="38"/>
      <c r="DTW224" s="39"/>
      <c r="DTX224" s="34"/>
      <c r="DTY224" s="34"/>
      <c r="DTZ224" s="34"/>
      <c r="DUA224" s="35"/>
      <c r="DUB224" s="35"/>
      <c r="DUC224" s="35"/>
      <c r="DUD224" s="35"/>
      <c r="DUE224" s="35"/>
      <c r="DUF224" s="34"/>
      <c r="DUG224" s="34"/>
      <c r="DUH224" s="36"/>
      <c r="DUI224" s="36"/>
      <c r="DUJ224" s="37"/>
      <c r="DUK224" s="37"/>
      <c r="DUL224" s="38"/>
      <c r="DUM224" s="38"/>
      <c r="DUN224" s="39"/>
      <c r="DUO224" s="34"/>
      <c r="DUP224" s="34"/>
      <c r="DUQ224" s="34"/>
      <c r="DUR224" s="35"/>
      <c r="DUS224" s="35"/>
      <c r="DUT224" s="35"/>
      <c r="DUU224" s="35"/>
      <c r="DUV224" s="35"/>
      <c r="DUW224" s="34"/>
      <c r="DUX224" s="34"/>
      <c r="DUY224" s="36"/>
      <c r="DUZ224" s="36"/>
      <c r="DVA224" s="37"/>
      <c r="DVB224" s="37"/>
      <c r="DVC224" s="38"/>
      <c r="DVD224" s="38"/>
      <c r="DVE224" s="39"/>
      <c r="DVF224" s="34"/>
      <c r="DVG224" s="34"/>
      <c r="DVH224" s="34"/>
      <c r="DVI224" s="35"/>
      <c r="DVJ224" s="35"/>
      <c r="DVK224" s="35"/>
      <c r="DVL224" s="35"/>
      <c r="DVM224" s="35"/>
      <c r="DVN224" s="34"/>
      <c r="DVO224" s="34"/>
      <c r="DVP224" s="36"/>
      <c r="DVQ224" s="36"/>
      <c r="DVR224" s="37"/>
      <c r="DVS224" s="37"/>
      <c r="DVT224" s="38"/>
      <c r="DVU224" s="38"/>
      <c r="DVV224" s="39"/>
      <c r="DVW224" s="34"/>
      <c r="DVX224" s="34"/>
      <c r="DVY224" s="34"/>
      <c r="DVZ224" s="35"/>
      <c r="DWA224" s="35"/>
      <c r="DWB224" s="35"/>
      <c r="DWC224" s="35"/>
      <c r="DWD224" s="35"/>
      <c r="DWE224" s="34"/>
      <c r="DWF224" s="34"/>
      <c r="DWG224" s="36"/>
      <c r="DWH224" s="36"/>
      <c r="DWI224" s="37"/>
      <c r="DWJ224" s="37"/>
      <c r="DWK224" s="38"/>
      <c r="DWL224" s="38"/>
      <c r="DWM224" s="39"/>
      <c r="DWN224" s="34"/>
      <c r="DWO224" s="34"/>
      <c r="DWP224" s="34"/>
      <c r="DWQ224" s="35"/>
      <c r="DWR224" s="35"/>
      <c r="DWS224" s="35"/>
      <c r="DWT224" s="35"/>
      <c r="DWU224" s="35"/>
      <c r="DWV224" s="34"/>
      <c r="DWW224" s="34"/>
      <c r="DWX224" s="36"/>
      <c r="DWY224" s="36"/>
      <c r="DWZ224" s="37"/>
      <c r="DXA224" s="37"/>
      <c r="DXB224" s="38"/>
      <c r="DXC224" s="38"/>
      <c r="DXD224" s="39"/>
      <c r="DXE224" s="34"/>
      <c r="DXF224" s="34"/>
      <c r="DXG224" s="34"/>
      <c r="DXH224" s="35"/>
      <c r="DXI224" s="35"/>
      <c r="DXJ224" s="35"/>
      <c r="DXK224" s="35"/>
      <c r="DXL224" s="35"/>
      <c r="DXM224" s="34"/>
      <c r="DXN224" s="34"/>
      <c r="DXO224" s="36"/>
      <c r="DXP224" s="36"/>
      <c r="DXQ224" s="37"/>
      <c r="DXR224" s="37"/>
      <c r="DXS224" s="38"/>
      <c r="DXT224" s="38"/>
      <c r="DXU224" s="39"/>
      <c r="DXV224" s="34"/>
      <c r="DXW224" s="34"/>
      <c r="DXX224" s="34"/>
      <c r="DXY224" s="35"/>
      <c r="DXZ224" s="35"/>
      <c r="DYA224" s="35"/>
      <c r="DYB224" s="35"/>
      <c r="DYC224" s="35"/>
      <c r="DYD224" s="34"/>
      <c r="DYE224" s="34"/>
      <c r="DYF224" s="36"/>
      <c r="DYG224" s="36"/>
      <c r="DYH224" s="37"/>
      <c r="DYI224" s="37"/>
      <c r="DYJ224" s="38"/>
      <c r="DYK224" s="38"/>
      <c r="DYL224" s="39"/>
      <c r="DYM224" s="34"/>
      <c r="DYN224" s="34"/>
      <c r="DYO224" s="34"/>
      <c r="DYP224" s="35"/>
      <c r="DYQ224" s="35"/>
      <c r="DYR224" s="35"/>
      <c r="DYS224" s="35"/>
      <c r="DYT224" s="35"/>
      <c r="DYU224" s="34"/>
      <c r="DYV224" s="34"/>
      <c r="DYW224" s="36"/>
      <c r="DYX224" s="36"/>
      <c r="DYY224" s="37"/>
      <c r="DYZ224" s="37"/>
      <c r="DZA224" s="38"/>
      <c r="DZB224" s="38"/>
      <c r="DZC224" s="39"/>
      <c r="DZD224" s="34"/>
      <c r="DZE224" s="34"/>
      <c r="DZF224" s="34"/>
      <c r="DZG224" s="35"/>
      <c r="DZH224" s="35"/>
      <c r="DZI224" s="35"/>
      <c r="DZJ224" s="35"/>
      <c r="DZK224" s="35"/>
      <c r="DZL224" s="34"/>
      <c r="DZM224" s="34"/>
      <c r="DZN224" s="36"/>
      <c r="DZO224" s="36"/>
      <c r="DZP224" s="37"/>
      <c r="DZQ224" s="37"/>
      <c r="DZR224" s="38"/>
      <c r="DZS224" s="38"/>
      <c r="DZT224" s="39"/>
      <c r="DZU224" s="34"/>
      <c r="DZV224" s="34"/>
      <c r="DZW224" s="34"/>
      <c r="DZX224" s="35"/>
      <c r="DZY224" s="35"/>
      <c r="DZZ224" s="35"/>
      <c r="EAA224" s="35"/>
      <c r="EAB224" s="35"/>
      <c r="EAC224" s="34"/>
      <c r="EAD224" s="34"/>
      <c r="EAE224" s="36"/>
      <c r="EAF224" s="36"/>
      <c r="EAG224" s="37"/>
      <c r="EAH224" s="37"/>
      <c r="EAI224" s="38"/>
      <c r="EAJ224" s="38"/>
      <c r="EAK224" s="39"/>
      <c r="EAL224" s="34"/>
      <c r="EAM224" s="34"/>
      <c r="EAN224" s="34"/>
      <c r="EAO224" s="35"/>
      <c r="EAP224" s="35"/>
      <c r="EAQ224" s="35"/>
      <c r="EAR224" s="35"/>
      <c r="EAS224" s="35"/>
      <c r="EAT224" s="34"/>
      <c r="EAU224" s="34"/>
      <c r="EAV224" s="36"/>
      <c r="EAW224" s="36"/>
      <c r="EAX224" s="37"/>
      <c r="EAY224" s="37"/>
      <c r="EAZ224" s="38"/>
      <c r="EBA224" s="38"/>
      <c r="EBB224" s="39"/>
      <c r="EBC224" s="34"/>
      <c r="EBD224" s="34"/>
      <c r="EBE224" s="34"/>
      <c r="EBF224" s="35"/>
      <c r="EBG224" s="35"/>
      <c r="EBH224" s="35"/>
      <c r="EBI224" s="35"/>
      <c r="EBJ224" s="35"/>
      <c r="EBK224" s="34"/>
      <c r="EBL224" s="34"/>
      <c r="EBM224" s="36"/>
      <c r="EBN224" s="36"/>
      <c r="EBO224" s="37"/>
      <c r="EBP224" s="37"/>
      <c r="EBQ224" s="38"/>
      <c r="EBR224" s="38"/>
      <c r="EBS224" s="39"/>
      <c r="EBT224" s="34"/>
      <c r="EBU224" s="34"/>
      <c r="EBV224" s="34"/>
      <c r="EBW224" s="35"/>
      <c r="EBX224" s="35"/>
      <c r="EBY224" s="35"/>
      <c r="EBZ224" s="35"/>
      <c r="ECA224" s="35"/>
      <c r="ECB224" s="34"/>
      <c r="ECC224" s="34"/>
      <c r="ECD224" s="36"/>
      <c r="ECE224" s="36"/>
      <c r="ECF224" s="37"/>
      <c r="ECG224" s="37"/>
      <c r="ECH224" s="38"/>
      <c r="ECI224" s="38"/>
      <c r="ECJ224" s="39"/>
      <c r="ECK224" s="34"/>
      <c r="ECL224" s="34"/>
      <c r="ECM224" s="34"/>
      <c r="ECN224" s="35"/>
      <c r="ECO224" s="35"/>
      <c r="ECP224" s="35"/>
      <c r="ECQ224" s="35"/>
      <c r="ECR224" s="35"/>
      <c r="ECS224" s="34"/>
      <c r="ECT224" s="34"/>
      <c r="ECU224" s="36"/>
      <c r="ECV224" s="36"/>
      <c r="ECW224" s="37"/>
      <c r="ECX224" s="37"/>
      <c r="ECY224" s="38"/>
      <c r="ECZ224" s="38"/>
      <c r="EDA224" s="39"/>
      <c r="EDB224" s="34"/>
      <c r="EDC224" s="34"/>
      <c r="EDD224" s="34"/>
      <c r="EDE224" s="35"/>
      <c r="EDF224" s="35"/>
      <c r="EDG224" s="35"/>
      <c r="EDH224" s="35"/>
      <c r="EDI224" s="35"/>
      <c r="EDJ224" s="34"/>
      <c r="EDK224" s="34"/>
      <c r="EDL224" s="36"/>
      <c r="EDM224" s="36"/>
      <c r="EDN224" s="37"/>
      <c r="EDO224" s="37"/>
      <c r="EDP224" s="38"/>
      <c r="EDQ224" s="38"/>
      <c r="EDR224" s="39"/>
      <c r="EDS224" s="34"/>
      <c r="EDT224" s="34"/>
      <c r="EDU224" s="34"/>
      <c r="EDV224" s="35"/>
      <c r="EDW224" s="35"/>
      <c r="EDX224" s="35"/>
      <c r="EDY224" s="35"/>
      <c r="EDZ224" s="35"/>
      <c r="EEA224" s="34"/>
      <c r="EEB224" s="34"/>
      <c r="EEC224" s="36"/>
      <c r="EED224" s="36"/>
      <c r="EEE224" s="37"/>
      <c r="EEF224" s="37"/>
      <c r="EEG224" s="38"/>
      <c r="EEH224" s="38"/>
      <c r="EEI224" s="39"/>
      <c r="EEJ224" s="34"/>
      <c r="EEK224" s="34"/>
      <c r="EEL224" s="34"/>
      <c r="EEM224" s="35"/>
      <c r="EEN224" s="35"/>
      <c r="EEO224" s="35"/>
      <c r="EEP224" s="35"/>
      <c r="EEQ224" s="35"/>
      <c r="EER224" s="34"/>
      <c r="EES224" s="34"/>
      <c r="EET224" s="36"/>
      <c r="EEU224" s="36"/>
      <c r="EEV224" s="37"/>
      <c r="EEW224" s="37"/>
      <c r="EEX224" s="38"/>
      <c r="EEY224" s="38"/>
      <c r="EEZ224" s="39"/>
      <c r="EFA224" s="34"/>
      <c r="EFB224" s="34"/>
      <c r="EFC224" s="34"/>
      <c r="EFD224" s="35"/>
      <c r="EFE224" s="35"/>
      <c r="EFF224" s="35"/>
      <c r="EFG224" s="35"/>
      <c r="EFH224" s="35"/>
      <c r="EFI224" s="34"/>
      <c r="EFJ224" s="34"/>
      <c r="EFK224" s="36"/>
      <c r="EFL224" s="36"/>
      <c r="EFM224" s="37"/>
      <c r="EFN224" s="37"/>
      <c r="EFO224" s="38"/>
      <c r="EFP224" s="38"/>
      <c r="EFQ224" s="39"/>
      <c r="EFR224" s="34"/>
      <c r="EFS224" s="34"/>
      <c r="EFT224" s="34"/>
      <c r="EFU224" s="35"/>
      <c r="EFV224" s="35"/>
      <c r="EFW224" s="35"/>
      <c r="EFX224" s="35"/>
      <c r="EFY224" s="35"/>
      <c r="EFZ224" s="34"/>
      <c r="EGA224" s="34"/>
      <c r="EGB224" s="36"/>
      <c r="EGC224" s="36"/>
      <c r="EGD224" s="37"/>
      <c r="EGE224" s="37"/>
      <c r="EGF224" s="38"/>
      <c r="EGG224" s="38"/>
      <c r="EGH224" s="39"/>
      <c r="EGI224" s="34"/>
      <c r="EGJ224" s="34"/>
      <c r="EGK224" s="34"/>
      <c r="EGL224" s="35"/>
      <c r="EGM224" s="35"/>
      <c r="EGN224" s="35"/>
      <c r="EGO224" s="35"/>
      <c r="EGP224" s="35"/>
      <c r="EGQ224" s="34"/>
      <c r="EGR224" s="34"/>
      <c r="EGS224" s="36"/>
      <c r="EGT224" s="36"/>
      <c r="EGU224" s="37"/>
      <c r="EGV224" s="37"/>
      <c r="EGW224" s="38"/>
      <c r="EGX224" s="38"/>
      <c r="EGY224" s="39"/>
      <c r="EGZ224" s="34"/>
      <c r="EHA224" s="34"/>
      <c r="EHB224" s="34"/>
      <c r="EHC224" s="35"/>
      <c r="EHD224" s="35"/>
      <c r="EHE224" s="35"/>
      <c r="EHF224" s="35"/>
      <c r="EHG224" s="35"/>
      <c r="EHH224" s="34"/>
      <c r="EHI224" s="34"/>
      <c r="EHJ224" s="36"/>
      <c r="EHK224" s="36"/>
      <c r="EHL224" s="37"/>
      <c r="EHM224" s="37"/>
      <c r="EHN224" s="38"/>
      <c r="EHO224" s="38"/>
      <c r="EHP224" s="39"/>
      <c r="EHQ224" s="34"/>
      <c r="EHR224" s="34"/>
      <c r="EHS224" s="34"/>
      <c r="EHT224" s="35"/>
      <c r="EHU224" s="35"/>
      <c r="EHV224" s="35"/>
      <c r="EHW224" s="35"/>
      <c r="EHX224" s="35"/>
      <c r="EHY224" s="34"/>
      <c r="EHZ224" s="34"/>
      <c r="EIA224" s="36"/>
      <c r="EIB224" s="36"/>
      <c r="EIC224" s="37"/>
      <c r="EID224" s="37"/>
      <c r="EIE224" s="38"/>
      <c r="EIF224" s="38"/>
      <c r="EIG224" s="39"/>
      <c r="EIH224" s="34"/>
      <c r="EII224" s="34"/>
      <c r="EIJ224" s="34"/>
      <c r="EIK224" s="35"/>
      <c r="EIL224" s="35"/>
      <c r="EIM224" s="35"/>
      <c r="EIN224" s="35"/>
      <c r="EIO224" s="35"/>
      <c r="EIP224" s="34"/>
      <c r="EIQ224" s="34"/>
      <c r="EIR224" s="36"/>
      <c r="EIS224" s="36"/>
      <c r="EIT224" s="37"/>
      <c r="EIU224" s="37"/>
      <c r="EIV224" s="38"/>
      <c r="EIW224" s="38"/>
      <c r="EIX224" s="39"/>
      <c r="EIY224" s="34"/>
      <c r="EIZ224" s="34"/>
      <c r="EJA224" s="34"/>
      <c r="EJB224" s="35"/>
      <c r="EJC224" s="35"/>
      <c r="EJD224" s="35"/>
      <c r="EJE224" s="35"/>
      <c r="EJF224" s="35"/>
      <c r="EJG224" s="34"/>
      <c r="EJH224" s="34"/>
      <c r="EJI224" s="36"/>
      <c r="EJJ224" s="36"/>
      <c r="EJK224" s="37"/>
      <c r="EJL224" s="37"/>
      <c r="EJM224" s="38"/>
      <c r="EJN224" s="38"/>
      <c r="EJO224" s="39"/>
      <c r="EJP224" s="34"/>
      <c r="EJQ224" s="34"/>
      <c r="EJR224" s="34"/>
      <c r="EJS224" s="35"/>
      <c r="EJT224" s="35"/>
      <c r="EJU224" s="35"/>
      <c r="EJV224" s="35"/>
      <c r="EJW224" s="35"/>
      <c r="EJX224" s="34"/>
      <c r="EJY224" s="34"/>
      <c r="EJZ224" s="36"/>
      <c r="EKA224" s="36"/>
      <c r="EKB224" s="37"/>
      <c r="EKC224" s="37"/>
      <c r="EKD224" s="38"/>
      <c r="EKE224" s="38"/>
      <c r="EKF224" s="39"/>
      <c r="EKG224" s="34"/>
      <c r="EKH224" s="34"/>
      <c r="EKI224" s="34"/>
      <c r="EKJ224" s="35"/>
      <c r="EKK224" s="35"/>
      <c r="EKL224" s="35"/>
      <c r="EKM224" s="35"/>
      <c r="EKN224" s="35"/>
      <c r="EKO224" s="34"/>
      <c r="EKP224" s="34"/>
      <c r="EKQ224" s="36"/>
      <c r="EKR224" s="36"/>
      <c r="EKS224" s="37"/>
      <c r="EKT224" s="37"/>
      <c r="EKU224" s="38"/>
      <c r="EKV224" s="38"/>
      <c r="EKW224" s="39"/>
      <c r="EKX224" s="34"/>
      <c r="EKY224" s="34"/>
      <c r="EKZ224" s="34"/>
      <c r="ELA224" s="35"/>
      <c r="ELB224" s="35"/>
      <c r="ELC224" s="35"/>
      <c r="ELD224" s="35"/>
      <c r="ELE224" s="35"/>
      <c r="ELF224" s="34"/>
      <c r="ELG224" s="34"/>
      <c r="ELH224" s="36"/>
      <c r="ELI224" s="36"/>
      <c r="ELJ224" s="37"/>
      <c r="ELK224" s="37"/>
      <c r="ELL224" s="38"/>
      <c r="ELM224" s="38"/>
      <c r="ELN224" s="39"/>
      <c r="ELO224" s="34"/>
      <c r="ELP224" s="34"/>
      <c r="ELQ224" s="34"/>
      <c r="ELR224" s="35"/>
      <c r="ELS224" s="35"/>
      <c r="ELT224" s="35"/>
      <c r="ELU224" s="35"/>
      <c r="ELV224" s="35"/>
      <c r="ELW224" s="34"/>
      <c r="ELX224" s="34"/>
      <c r="ELY224" s="36"/>
      <c r="ELZ224" s="36"/>
      <c r="EMA224" s="37"/>
      <c r="EMB224" s="37"/>
      <c r="EMC224" s="38"/>
      <c r="EMD224" s="38"/>
      <c r="EME224" s="39"/>
      <c r="EMF224" s="34"/>
      <c r="EMG224" s="34"/>
      <c r="EMH224" s="34"/>
      <c r="EMI224" s="35"/>
      <c r="EMJ224" s="35"/>
      <c r="EMK224" s="35"/>
      <c r="EML224" s="35"/>
      <c r="EMM224" s="35"/>
      <c r="EMN224" s="34"/>
      <c r="EMO224" s="34"/>
      <c r="EMP224" s="36"/>
      <c r="EMQ224" s="36"/>
      <c r="EMR224" s="37"/>
      <c r="EMS224" s="37"/>
      <c r="EMT224" s="38"/>
      <c r="EMU224" s="38"/>
      <c r="EMV224" s="39"/>
      <c r="EMW224" s="34"/>
      <c r="EMX224" s="34"/>
      <c r="EMY224" s="34"/>
      <c r="EMZ224" s="35"/>
      <c r="ENA224" s="35"/>
      <c r="ENB224" s="35"/>
      <c r="ENC224" s="35"/>
      <c r="END224" s="35"/>
      <c r="ENE224" s="34"/>
      <c r="ENF224" s="34"/>
      <c r="ENG224" s="36"/>
      <c r="ENH224" s="36"/>
      <c r="ENI224" s="37"/>
      <c r="ENJ224" s="37"/>
      <c r="ENK224" s="38"/>
      <c r="ENL224" s="38"/>
      <c r="ENM224" s="39"/>
      <c r="ENN224" s="34"/>
      <c r="ENO224" s="34"/>
      <c r="ENP224" s="34"/>
      <c r="ENQ224" s="35"/>
      <c r="ENR224" s="35"/>
      <c r="ENS224" s="35"/>
      <c r="ENT224" s="35"/>
      <c r="ENU224" s="35"/>
      <c r="ENV224" s="34"/>
      <c r="ENW224" s="34"/>
      <c r="ENX224" s="36"/>
      <c r="ENY224" s="36"/>
      <c r="ENZ224" s="37"/>
      <c r="EOA224" s="37"/>
      <c r="EOB224" s="38"/>
      <c r="EOC224" s="38"/>
      <c r="EOD224" s="39"/>
      <c r="EOE224" s="34"/>
      <c r="EOF224" s="34"/>
      <c r="EOG224" s="34"/>
      <c r="EOH224" s="35"/>
      <c r="EOI224" s="35"/>
      <c r="EOJ224" s="35"/>
      <c r="EOK224" s="35"/>
      <c r="EOL224" s="35"/>
      <c r="EOM224" s="34"/>
      <c r="EON224" s="34"/>
      <c r="EOO224" s="36"/>
      <c r="EOP224" s="36"/>
      <c r="EOQ224" s="37"/>
      <c r="EOR224" s="37"/>
      <c r="EOS224" s="38"/>
      <c r="EOT224" s="38"/>
      <c r="EOU224" s="39"/>
      <c r="EOV224" s="34"/>
      <c r="EOW224" s="34"/>
      <c r="EOX224" s="34"/>
      <c r="EOY224" s="35"/>
      <c r="EOZ224" s="35"/>
      <c r="EPA224" s="35"/>
      <c r="EPB224" s="35"/>
      <c r="EPC224" s="35"/>
      <c r="EPD224" s="34"/>
      <c r="EPE224" s="34"/>
      <c r="EPF224" s="36"/>
      <c r="EPG224" s="36"/>
      <c r="EPH224" s="37"/>
      <c r="EPI224" s="37"/>
      <c r="EPJ224" s="38"/>
      <c r="EPK224" s="38"/>
      <c r="EPL224" s="39"/>
      <c r="EPM224" s="34"/>
      <c r="EPN224" s="34"/>
      <c r="EPO224" s="34"/>
      <c r="EPP224" s="35"/>
      <c r="EPQ224" s="35"/>
      <c r="EPR224" s="35"/>
      <c r="EPS224" s="35"/>
      <c r="EPT224" s="35"/>
      <c r="EPU224" s="34"/>
      <c r="EPV224" s="34"/>
      <c r="EPW224" s="36"/>
      <c r="EPX224" s="36"/>
      <c r="EPY224" s="37"/>
      <c r="EPZ224" s="37"/>
      <c r="EQA224" s="38"/>
      <c r="EQB224" s="38"/>
      <c r="EQC224" s="39"/>
      <c r="EQD224" s="34"/>
      <c r="EQE224" s="34"/>
      <c r="EQF224" s="34"/>
      <c r="EQG224" s="35"/>
      <c r="EQH224" s="35"/>
      <c r="EQI224" s="35"/>
      <c r="EQJ224" s="35"/>
      <c r="EQK224" s="35"/>
      <c r="EQL224" s="34"/>
      <c r="EQM224" s="34"/>
      <c r="EQN224" s="36"/>
      <c r="EQO224" s="36"/>
      <c r="EQP224" s="37"/>
      <c r="EQQ224" s="37"/>
      <c r="EQR224" s="38"/>
      <c r="EQS224" s="38"/>
      <c r="EQT224" s="39"/>
      <c r="EQU224" s="34"/>
      <c r="EQV224" s="34"/>
      <c r="EQW224" s="34"/>
      <c r="EQX224" s="35"/>
      <c r="EQY224" s="35"/>
      <c r="EQZ224" s="35"/>
      <c r="ERA224" s="35"/>
      <c r="ERB224" s="35"/>
      <c r="ERC224" s="34"/>
      <c r="ERD224" s="34"/>
      <c r="ERE224" s="36"/>
      <c r="ERF224" s="36"/>
      <c r="ERG224" s="37"/>
      <c r="ERH224" s="37"/>
      <c r="ERI224" s="38"/>
      <c r="ERJ224" s="38"/>
      <c r="ERK224" s="39"/>
      <c r="ERL224" s="34"/>
      <c r="ERM224" s="34"/>
      <c r="ERN224" s="34"/>
      <c r="ERO224" s="35"/>
      <c r="ERP224" s="35"/>
      <c r="ERQ224" s="35"/>
      <c r="ERR224" s="35"/>
      <c r="ERS224" s="35"/>
      <c r="ERT224" s="34"/>
      <c r="ERU224" s="34"/>
      <c r="ERV224" s="36"/>
      <c r="ERW224" s="36"/>
      <c r="ERX224" s="37"/>
      <c r="ERY224" s="37"/>
      <c r="ERZ224" s="38"/>
      <c r="ESA224" s="38"/>
      <c r="ESB224" s="39"/>
      <c r="ESC224" s="34"/>
      <c r="ESD224" s="34"/>
      <c r="ESE224" s="34"/>
      <c r="ESF224" s="35"/>
      <c r="ESG224" s="35"/>
      <c r="ESH224" s="35"/>
      <c r="ESI224" s="35"/>
      <c r="ESJ224" s="35"/>
      <c r="ESK224" s="34"/>
      <c r="ESL224" s="34"/>
      <c r="ESM224" s="36"/>
      <c r="ESN224" s="36"/>
      <c r="ESO224" s="37"/>
      <c r="ESP224" s="37"/>
      <c r="ESQ224" s="38"/>
      <c r="ESR224" s="38"/>
      <c r="ESS224" s="39"/>
      <c r="EST224" s="34"/>
      <c r="ESU224" s="34"/>
      <c r="ESV224" s="34"/>
      <c r="ESW224" s="35"/>
      <c r="ESX224" s="35"/>
      <c r="ESY224" s="35"/>
      <c r="ESZ224" s="35"/>
      <c r="ETA224" s="35"/>
      <c r="ETB224" s="34"/>
      <c r="ETC224" s="34"/>
      <c r="ETD224" s="36"/>
      <c r="ETE224" s="36"/>
      <c r="ETF224" s="37"/>
      <c r="ETG224" s="37"/>
      <c r="ETH224" s="38"/>
      <c r="ETI224" s="38"/>
      <c r="ETJ224" s="39"/>
      <c r="ETK224" s="34"/>
      <c r="ETL224" s="34"/>
      <c r="ETM224" s="34"/>
      <c r="ETN224" s="35"/>
      <c r="ETO224" s="35"/>
      <c r="ETP224" s="35"/>
      <c r="ETQ224" s="35"/>
      <c r="ETR224" s="35"/>
      <c r="ETS224" s="34"/>
      <c r="ETT224" s="34"/>
      <c r="ETU224" s="36"/>
      <c r="ETV224" s="36"/>
      <c r="ETW224" s="37"/>
      <c r="ETX224" s="37"/>
      <c r="ETY224" s="38"/>
      <c r="ETZ224" s="38"/>
      <c r="EUA224" s="39"/>
      <c r="EUB224" s="34"/>
      <c r="EUC224" s="34"/>
      <c r="EUD224" s="34"/>
      <c r="EUE224" s="35"/>
      <c r="EUF224" s="35"/>
      <c r="EUG224" s="35"/>
      <c r="EUH224" s="35"/>
      <c r="EUI224" s="35"/>
      <c r="EUJ224" s="34"/>
      <c r="EUK224" s="34"/>
      <c r="EUL224" s="36"/>
      <c r="EUM224" s="36"/>
      <c r="EUN224" s="37"/>
      <c r="EUO224" s="37"/>
      <c r="EUP224" s="38"/>
      <c r="EUQ224" s="38"/>
      <c r="EUR224" s="39"/>
      <c r="EUS224" s="34"/>
      <c r="EUT224" s="34"/>
      <c r="EUU224" s="34"/>
      <c r="EUV224" s="35"/>
      <c r="EUW224" s="35"/>
      <c r="EUX224" s="35"/>
      <c r="EUY224" s="35"/>
      <c r="EUZ224" s="35"/>
      <c r="EVA224" s="34"/>
      <c r="EVB224" s="34"/>
      <c r="EVC224" s="36"/>
      <c r="EVD224" s="36"/>
      <c r="EVE224" s="37"/>
      <c r="EVF224" s="37"/>
      <c r="EVG224" s="38"/>
      <c r="EVH224" s="38"/>
      <c r="EVI224" s="39"/>
      <c r="EVJ224" s="34"/>
      <c r="EVK224" s="34"/>
      <c r="EVL224" s="34"/>
      <c r="EVM224" s="35"/>
      <c r="EVN224" s="35"/>
      <c r="EVO224" s="35"/>
      <c r="EVP224" s="35"/>
      <c r="EVQ224" s="35"/>
      <c r="EVR224" s="34"/>
      <c r="EVS224" s="34"/>
      <c r="EVT224" s="36"/>
      <c r="EVU224" s="36"/>
      <c r="EVV224" s="37"/>
      <c r="EVW224" s="37"/>
      <c r="EVX224" s="38"/>
      <c r="EVY224" s="38"/>
      <c r="EVZ224" s="39"/>
      <c r="EWA224" s="34"/>
      <c r="EWB224" s="34"/>
      <c r="EWC224" s="34"/>
      <c r="EWD224" s="35"/>
      <c r="EWE224" s="35"/>
      <c r="EWF224" s="35"/>
      <c r="EWG224" s="35"/>
      <c r="EWH224" s="35"/>
      <c r="EWI224" s="34"/>
      <c r="EWJ224" s="34"/>
      <c r="EWK224" s="36"/>
      <c r="EWL224" s="36"/>
      <c r="EWM224" s="37"/>
      <c r="EWN224" s="37"/>
      <c r="EWO224" s="38"/>
      <c r="EWP224" s="38"/>
      <c r="EWQ224" s="39"/>
      <c r="EWR224" s="34"/>
      <c r="EWS224" s="34"/>
      <c r="EWT224" s="34"/>
      <c r="EWU224" s="35"/>
      <c r="EWV224" s="35"/>
      <c r="EWW224" s="35"/>
      <c r="EWX224" s="35"/>
      <c r="EWY224" s="35"/>
      <c r="EWZ224" s="34"/>
      <c r="EXA224" s="34"/>
      <c r="EXB224" s="36"/>
      <c r="EXC224" s="36"/>
      <c r="EXD224" s="37"/>
      <c r="EXE224" s="37"/>
      <c r="EXF224" s="38"/>
      <c r="EXG224" s="38"/>
      <c r="EXH224" s="39"/>
      <c r="EXI224" s="34"/>
      <c r="EXJ224" s="34"/>
      <c r="EXK224" s="34"/>
      <c r="EXL224" s="35"/>
      <c r="EXM224" s="35"/>
      <c r="EXN224" s="35"/>
      <c r="EXO224" s="35"/>
      <c r="EXP224" s="35"/>
      <c r="EXQ224" s="34"/>
      <c r="EXR224" s="34"/>
      <c r="EXS224" s="36"/>
      <c r="EXT224" s="36"/>
      <c r="EXU224" s="37"/>
      <c r="EXV224" s="37"/>
      <c r="EXW224" s="38"/>
      <c r="EXX224" s="38"/>
      <c r="EXY224" s="39"/>
      <c r="EXZ224" s="34"/>
      <c r="EYA224" s="34"/>
      <c r="EYB224" s="34"/>
      <c r="EYC224" s="35"/>
      <c r="EYD224" s="35"/>
      <c r="EYE224" s="35"/>
      <c r="EYF224" s="35"/>
      <c r="EYG224" s="35"/>
      <c r="EYH224" s="34"/>
      <c r="EYI224" s="34"/>
      <c r="EYJ224" s="36"/>
      <c r="EYK224" s="36"/>
      <c r="EYL224" s="37"/>
      <c r="EYM224" s="37"/>
      <c r="EYN224" s="38"/>
      <c r="EYO224" s="38"/>
      <c r="EYP224" s="39"/>
      <c r="EYQ224" s="34"/>
      <c r="EYR224" s="34"/>
      <c r="EYS224" s="34"/>
      <c r="EYT224" s="35"/>
      <c r="EYU224" s="35"/>
      <c r="EYV224" s="35"/>
      <c r="EYW224" s="35"/>
      <c r="EYX224" s="35"/>
      <c r="EYY224" s="34"/>
      <c r="EYZ224" s="34"/>
      <c r="EZA224" s="36"/>
      <c r="EZB224" s="36"/>
      <c r="EZC224" s="37"/>
      <c r="EZD224" s="37"/>
      <c r="EZE224" s="38"/>
      <c r="EZF224" s="38"/>
      <c r="EZG224" s="39"/>
      <c r="EZH224" s="34"/>
      <c r="EZI224" s="34"/>
      <c r="EZJ224" s="34"/>
      <c r="EZK224" s="35"/>
      <c r="EZL224" s="35"/>
      <c r="EZM224" s="35"/>
      <c r="EZN224" s="35"/>
      <c r="EZO224" s="35"/>
      <c r="EZP224" s="34"/>
      <c r="EZQ224" s="34"/>
      <c r="EZR224" s="36"/>
      <c r="EZS224" s="36"/>
      <c r="EZT224" s="37"/>
      <c r="EZU224" s="37"/>
      <c r="EZV224" s="38"/>
      <c r="EZW224" s="38"/>
      <c r="EZX224" s="39"/>
      <c r="EZY224" s="34"/>
      <c r="EZZ224" s="34"/>
      <c r="FAA224" s="34"/>
      <c r="FAB224" s="35"/>
      <c r="FAC224" s="35"/>
      <c r="FAD224" s="35"/>
      <c r="FAE224" s="35"/>
      <c r="FAF224" s="35"/>
      <c r="FAG224" s="34"/>
      <c r="FAH224" s="34"/>
      <c r="FAI224" s="36"/>
      <c r="FAJ224" s="36"/>
      <c r="FAK224" s="37"/>
      <c r="FAL224" s="37"/>
      <c r="FAM224" s="38"/>
      <c r="FAN224" s="38"/>
      <c r="FAO224" s="39"/>
      <c r="FAP224" s="34"/>
      <c r="FAQ224" s="34"/>
      <c r="FAR224" s="34"/>
      <c r="FAS224" s="35"/>
      <c r="FAT224" s="35"/>
      <c r="FAU224" s="35"/>
      <c r="FAV224" s="35"/>
      <c r="FAW224" s="35"/>
      <c r="FAX224" s="34"/>
      <c r="FAY224" s="34"/>
      <c r="FAZ224" s="36"/>
      <c r="FBA224" s="36"/>
      <c r="FBB224" s="37"/>
      <c r="FBC224" s="37"/>
      <c r="FBD224" s="38"/>
      <c r="FBE224" s="38"/>
      <c r="FBF224" s="39"/>
      <c r="FBG224" s="34"/>
      <c r="FBH224" s="34"/>
      <c r="FBI224" s="34"/>
      <c r="FBJ224" s="35"/>
      <c r="FBK224" s="35"/>
      <c r="FBL224" s="35"/>
      <c r="FBM224" s="35"/>
      <c r="FBN224" s="35"/>
      <c r="FBO224" s="34"/>
      <c r="FBP224" s="34"/>
      <c r="FBQ224" s="36"/>
      <c r="FBR224" s="36"/>
      <c r="FBS224" s="37"/>
      <c r="FBT224" s="37"/>
      <c r="FBU224" s="38"/>
      <c r="FBV224" s="38"/>
      <c r="FBW224" s="39"/>
      <c r="FBX224" s="34"/>
      <c r="FBY224" s="34"/>
      <c r="FBZ224" s="34"/>
      <c r="FCA224" s="35"/>
      <c r="FCB224" s="35"/>
      <c r="FCC224" s="35"/>
      <c r="FCD224" s="35"/>
      <c r="FCE224" s="35"/>
      <c r="FCF224" s="34"/>
      <c r="FCG224" s="34"/>
      <c r="FCH224" s="36"/>
      <c r="FCI224" s="36"/>
      <c r="FCJ224" s="37"/>
      <c r="FCK224" s="37"/>
      <c r="FCL224" s="38"/>
      <c r="FCM224" s="38"/>
      <c r="FCN224" s="39"/>
      <c r="FCO224" s="34"/>
      <c r="FCP224" s="34"/>
      <c r="FCQ224" s="34"/>
      <c r="FCR224" s="35"/>
      <c r="FCS224" s="35"/>
      <c r="FCT224" s="35"/>
      <c r="FCU224" s="35"/>
      <c r="FCV224" s="35"/>
      <c r="FCW224" s="34"/>
      <c r="FCX224" s="34"/>
      <c r="FCY224" s="36"/>
      <c r="FCZ224" s="36"/>
      <c r="FDA224" s="37"/>
      <c r="FDB224" s="37"/>
      <c r="FDC224" s="38"/>
      <c r="FDD224" s="38"/>
      <c r="FDE224" s="39"/>
      <c r="FDF224" s="34"/>
      <c r="FDG224" s="34"/>
      <c r="FDH224" s="34"/>
      <c r="FDI224" s="35"/>
      <c r="FDJ224" s="35"/>
      <c r="FDK224" s="35"/>
      <c r="FDL224" s="35"/>
      <c r="FDM224" s="35"/>
      <c r="FDN224" s="34"/>
      <c r="FDO224" s="34"/>
      <c r="FDP224" s="36"/>
      <c r="FDQ224" s="36"/>
      <c r="FDR224" s="37"/>
      <c r="FDS224" s="37"/>
      <c r="FDT224" s="38"/>
      <c r="FDU224" s="38"/>
      <c r="FDV224" s="39"/>
      <c r="FDW224" s="34"/>
      <c r="FDX224" s="34"/>
      <c r="FDY224" s="34"/>
      <c r="FDZ224" s="35"/>
      <c r="FEA224" s="35"/>
      <c r="FEB224" s="35"/>
      <c r="FEC224" s="35"/>
      <c r="FED224" s="35"/>
      <c r="FEE224" s="34"/>
      <c r="FEF224" s="34"/>
      <c r="FEG224" s="36"/>
      <c r="FEH224" s="36"/>
      <c r="FEI224" s="37"/>
      <c r="FEJ224" s="37"/>
      <c r="FEK224" s="38"/>
      <c r="FEL224" s="38"/>
      <c r="FEM224" s="39"/>
      <c r="FEN224" s="34"/>
      <c r="FEO224" s="34"/>
      <c r="FEP224" s="34"/>
      <c r="FEQ224" s="35"/>
      <c r="FER224" s="35"/>
      <c r="FES224" s="35"/>
      <c r="FET224" s="35"/>
      <c r="FEU224" s="35"/>
      <c r="FEV224" s="34"/>
      <c r="FEW224" s="34"/>
      <c r="FEX224" s="36"/>
      <c r="FEY224" s="36"/>
      <c r="FEZ224" s="37"/>
      <c r="FFA224" s="37"/>
      <c r="FFB224" s="38"/>
      <c r="FFC224" s="38"/>
      <c r="FFD224" s="39"/>
      <c r="FFE224" s="34"/>
      <c r="FFF224" s="34"/>
      <c r="FFG224" s="34"/>
      <c r="FFH224" s="35"/>
      <c r="FFI224" s="35"/>
      <c r="FFJ224" s="35"/>
      <c r="FFK224" s="35"/>
      <c r="FFL224" s="35"/>
      <c r="FFM224" s="34"/>
      <c r="FFN224" s="34"/>
      <c r="FFO224" s="36"/>
      <c r="FFP224" s="36"/>
      <c r="FFQ224" s="37"/>
      <c r="FFR224" s="37"/>
      <c r="FFS224" s="38"/>
      <c r="FFT224" s="38"/>
      <c r="FFU224" s="39"/>
      <c r="FFV224" s="34"/>
      <c r="FFW224" s="34"/>
      <c r="FFX224" s="34"/>
      <c r="FFY224" s="35"/>
      <c r="FFZ224" s="35"/>
      <c r="FGA224" s="35"/>
      <c r="FGB224" s="35"/>
      <c r="FGC224" s="35"/>
      <c r="FGD224" s="34"/>
      <c r="FGE224" s="34"/>
      <c r="FGF224" s="36"/>
      <c r="FGG224" s="36"/>
      <c r="FGH224" s="37"/>
      <c r="FGI224" s="37"/>
      <c r="FGJ224" s="38"/>
      <c r="FGK224" s="38"/>
      <c r="FGL224" s="39"/>
      <c r="FGM224" s="34"/>
      <c r="FGN224" s="34"/>
      <c r="FGO224" s="34"/>
      <c r="FGP224" s="35"/>
      <c r="FGQ224" s="35"/>
      <c r="FGR224" s="35"/>
      <c r="FGS224" s="35"/>
      <c r="FGT224" s="35"/>
      <c r="FGU224" s="34"/>
      <c r="FGV224" s="34"/>
      <c r="FGW224" s="36"/>
      <c r="FGX224" s="36"/>
      <c r="FGY224" s="37"/>
      <c r="FGZ224" s="37"/>
      <c r="FHA224" s="38"/>
      <c r="FHB224" s="38"/>
      <c r="FHC224" s="39"/>
      <c r="FHD224" s="34"/>
      <c r="FHE224" s="34"/>
      <c r="FHF224" s="34"/>
      <c r="FHG224" s="35"/>
      <c r="FHH224" s="35"/>
      <c r="FHI224" s="35"/>
      <c r="FHJ224" s="35"/>
      <c r="FHK224" s="35"/>
      <c r="FHL224" s="34"/>
      <c r="FHM224" s="34"/>
      <c r="FHN224" s="36"/>
      <c r="FHO224" s="36"/>
      <c r="FHP224" s="37"/>
      <c r="FHQ224" s="37"/>
      <c r="FHR224" s="38"/>
      <c r="FHS224" s="38"/>
      <c r="FHT224" s="39"/>
      <c r="FHU224" s="34"/>
      <c r="FHV224" s="34"/>
      <c r="FHW224" s="34"/>
      <c r="FHX224" s="35"/>
      <c r="FHY224" s="35"/>
      <c r="FHZ224" s="35"/>
      <c r="FIA224" s="35"/>
      <c r="FIB224" s="35"/>
      <c r="FIC224" s="34"/>
      <c r="FID224" s="34"/>
      <c r="FIE224" s="36"/>
      <c r="FIF224" s="36"/>
      <c r="FIG224" s="37"/>
      <c r="FIH224" s="37"/>
      <c r="FII224" s="38"/>
      <c r="FIJ224" s="38"/>
      <c r="FIK224" s="39"/>
      <c r="FIL224" s="34"/>
      <c r="FIM224" s="34"/>
      <c r="FIN224" s="34"/>
      <c r="FIO224" s="35"/>
      <c r="FIP224" s="35"/>
      <c r="FIQ224" s="35"/>
      <c r="FIR224" s="35"/>
      <c r="FIS224" s="35"/>
      <c r="FIT224" s="34"/>
      <c r="FIU224" s="34"/>
      <c r="FIV224" s="36"/>
      <c r="FIW224" s="36"/>
      <c r="FIX224" s="37"/>
      <c r="FIY224" s="37"/>
      <c r="FIZ224" s="38"/>
      <c r="FJA224" s="38"/>
      <c r="FJB224" s="39"/>
      <c r="FJC224" s="34"/>
      <c r="FJD224" s="34"/>
      <c r="FJE224" s="34"/>
      <c r="FJF224" s="35"/>
      <c r="FJG224" s="35"/>
      <c r="FJH224" s="35"/>
      <c r="FJI224" s="35"/>
      <c r="FJJ224" s="35"/>
      <c r="FJK224" s="34"/>
      <c r="FJL224" s="34"/>
      <c r="FJM224" s="36"/>
      <c r="FJN224" s="36"/>
      <c r="FJO224" s="37"/>
      <c r="FJP224" s="37"/>
      <c r="FJQ224" s="38"/>
      <c r="FJR224" s="38"/>
      <c r="FJS224" s="39"/>
      <c r="FJT224" s="34"/>
      <c r="FJU224" s="34"/>
      <c r="FJV224" s="34"/>
      <c r="FJW224" s="35"/>
      <c r="FJX224" s="35"/>
      <c r="FJY224" s="35"/>
      <c r="FJZ224" s="35"/>
      <c r="FKA224" s="35"/>
      <c r="FKB224" s="34"/>
      <c r="FKC224" s="34"/>
      <c r="FKD224" s="36"/>
      <c r="FKE224" s="36"/>
      <c r="FKF224" s="37"/>
      <c r="FKG224" s="37"/>
      <c r="FKH224" s="38"/>
      <c r="FKI224" s="38"/>
      <c r="FKJ224" s="39"/>
      <c r="FKK224" s="34"/>
      <c r="FKL224" s="34"/>
      <c r="FKM224" s="34"/>
      <c r="FKN224" s="35"/>
      <c r="FKO224" s="35"/>
      <c r="FKP224" s="35"/>
      <c r="FKQ224" s="35"/>
      <c r="FKR224" s="35"/>
      <c r="FKS224" s="34"/>
      <c r="FKT224" s="34"/>
      <c r="FKU224" s="36"/>
      <c r="FKV224" s="36"/>
      <c r="FKW224" s="37"/>
      <c r="FKX224" s="37"/>
      <c r="FKY224" s="38"/>
      <c r="FKZ224" s="38"/>
      <c r="FLA224" s="39"/>
      <c r="FLB224" s="34"/>
      <c r="FLC224" s="34"/>
      <c r="FLD224" s="34"/>
      <c r="FLE224" s="35"/>
      <c r="FLF224" s="35"/>
      <c r="FLG224" s="35"/>
      <c r="FLH224" s="35"/>
      <c r="FLI224" s="35"/>
      <c r="FLJ224" s="34"/>
      <c r="FLK224" s="34"/>
      <c r="FLL224" s="36"/>
      <c r="FLM224" s="36"/>
      <c r="FLN224" s="37"/>
      <c r="FLO224" s="37"/>
      <c r="FLP224" s="38"/>
      <c r="FLQ224" s="38"/>
      <c r="FLR224" s="39"/>
      <c r="FLS224" s="34"/>
      <c r="FLT224" s="34"/>
      <c r="FLU224" s="34"/>
      <c r="FLV224" s="35"/>
      <c r="FLW224" s="35"/>
      <c r="FLX224" s="35"/>
      <c r="FLY224" s="35"/>
      <c r="FLZ224" s="35"/>
      <c r="FMA224" s="34"/>
      <c r="FMB224" s="34"/>
      <c r="FMC224" s="36"/>
      <c r="FMD224" s="36"/>
      <c r="FME224" s="37"/>
      <c r="FMF224" s="37"/>
      <c r="FMG224" s="38"/>
      <c r="FMH224" s="38"/>
      <c r="FMI224" s="39"/>
      <c r="FMJ224" s="34"/>
      <c r="FMK224" s="34"/>
      <c r="FML224" s="34"/>
      <c r="FMM224" s="35"/>
      <c r="FMN224" s="35"/>
      <c r="FMO224" s="35"/>
      <c r="FMP224" s="35"/>
      <c r="FMQ224" s="35"/>
      <c r="FMR224" s="34"/>
      <c r="FMS224" s="34"/>
      <c r="FMT224" s="36"/>
      <c r="FMU224" s="36"/>
      <c r="FMV224" s="37"/>
      <c r="FMW224" s="37"/>
      <c r="FMX224" s="38"/>
      <c r="FMY224" s="38"/>
      <c r="FMZ224" s="39"/>
      <c r="FNA224" s="34"/>
      <c r="FNB224" s="34"/>
      <c r="FNC224" s="34"/>
      <c r="FND224" s="35"/>
      <c r="FNE224" s="35"/>
      <c r="FNF224" s="35"/>
      <c r="FNG224" s="35"/>
      <c r="FNH224" s="35"/>
      <c r="FNI224" s="34"/>
      <c r="FNJ224" s="34"/>
      <c r="FNK224" s="36"/>
      <c r="FNL224" s="36"/>
      <c r="FNM224" s="37"/>
      <c r="FNN224" s="37"/>
      <c r="FNO224" s="38"/>
      <c r="FNP224" s="38"/>
      <c r="FNQ224" s="39"/>
      <c r="FNR224" s="34"/>
      <c r="FNS224" s="34"/>
      <c r="FNT224" s="34"/>
      <c r="FNU224" s="35"/>
      <c r="FNV224" s="35"/>
      <c r="FNW224" s="35"/>
      <c r="FNX224" s="35"/>
      <c r="FNY224" s="35"/>
      <c r="FNZ224" s="34"/>
      <c r="FOA224" s="34"/>
      <c r="FOB224" s="36"/>
      <c r="FOC224" s="36"/>
      <c r="FOD224" s="37"/>
      <c r="FOE224" s="37"/>
      <c r="FOF224" s="38"/>
      <c r="FOG224" s="38"/>
      <c r="FOH224" s="39"/>
      <c r="FOI224" s="34"/>
      <c r="FOJ224" s="34"/>
      <c r="FOK224" s="34"/>
      <c r="FOL224" s="35"/>
      <c r="FOM224" s="35"/>
      <c r="FON224" s="35"/>
      <c r="FOO224" s="35"/>
      <c r="FOP224" s="35"/>
      <c r="FOQ224" s="34"/>
      <c r="FOR224" s="34"/>
      <c r="FOS224" s="36"/>
      <c r="FOT224" s="36"/>
      <c r="FOU224" s="37"/>
      <c r="FOV224" s="37"/>
      <c r="FOW224" s="38"/>
      <c r="FOX224" s="38"/>
      <c r="FOY224" s="39"/>
      <c r="FOZ224" s="34"/>
      <c r="FPA224" s="34"/>
      <c r="FPB224" s="34"/>
      <c r="FPC224" s="35"/>
      <c r="FPD224" s="35"/>
      <c r="FPE224" s="35"/>
      <c r="FPF224" s="35"/>
      <c r="FPG224" s="35"/>
      <c r="FPH224" s="34"/>
      <c r="FPI224" s="34"/>
      <c r="FPJ224" s="36"/>
      <c r="FPK224" s="36"/>
      <c r="FPL224" s="37"/>
      <c r="FPM224" s="37"/>
      <c r="FPN224" s="38"/>
      <c r="FPO224" s="38"/>
      <c r="FPP224" s="39"/>
      <c r="FPQ224" s="34"/>
      <c r="FPR224" s="34"/>
      <c r="FPS224" s="34"/>
      <c r="FPT224" s="35"/>
      <c r="FPU224" s="35"/>
      <c r="FPV224" s="35"/>
      <c r="FPW224" s="35"/>
      <c r="FPX224" s="35"/>
      <c r="FPY224" s="34"/>
      <c r="FPZ224" s="34"/>
      <c r="FQA224" s="36"/>
      <c r="FQB224" s="36"/>
      <c r="FQC224" s="37"/>
      <c r="FQD224" s="37"/>
      <c r="FQE224" s="38"/>
      <c r="FQF224" s="38"/>
      <c r="FQG224" s="39"/>
      <c r="FQH224" s="34"/>
      <c r="FQI224" s="34"/>
      <c r="FQJ224" s="34"/>
      <c r="FQK224" s="35"/>
      <c r="FQL224" s="35"/>
      <c r="FQM224" s="35"/>
      <c r="FQN224" s="35"/>
      <c r="FQO224" s="35"/>
      <c r="FQP224" s="34"/>
      <c r="FQQ224" s="34"/>
      <c r="FQR224" s="36"/>
      <c r="FQS224" s="36"/>
      <c r="FQT224" s="37"/>
      <c r="FQU224" s="37"/>
      <c r="FQV224" s="38"/>
      <c r="FQW224" s="38"/>
      <c r="FQX224" s="39"/>
      <c r="FQY224" s="34"/>
      <c r="FQZ224" s="34"/>
      <c r="FRA224" s="34"/>
      <c r="FRB224" s="35"/>
      <c r="FRC224" s="35"/>
      <c r="FRD224" s="35"/>
      <c r="FRE224" s="35"/>
      <c r="FRF224" s="35"/>
      <c r="FRG224" s="34"/>
      <c r="FRH224" s="34"/>
      <c r="FRI224" s="36"/>
      <c r="FRJ224" s="36"/>
      <c r="FRK224" s="37"/>
      <c r="FRL224" s="37"/>
      <c r="FRM224" s="38"/>
      <c r="FRN224" s="38"/>
      <c r="FRO224" s="39"/>
      <c r="FRP224" s="34"/>
      <c r="FRQ224" s="34"/>
      <c r="FRR224" s="34"/>
      <c r="FRS224" s="35"/>
      <c r="FRT224" s="35"/>
      <c r="FRU224" s="35"/>
      <c r="FRV224" s="35"/>
      <c r="FRW224" s="35"/>
      <c r="FRX224" s="34"/>
      <c r="FRY224" s="34"/>
      <c r="FRZ224" s="36"/>
      <c r="FSA224" s="36"/>
      <c r="FSB224" s="37"/>
      <c r="FSC224" s="37"/>
      <c r="FSD224" s="38"/>
      <c r="FSE224" s="38"/>
      <c r="FSF224" s="39"/>
      <c r="FSG224" s="34"/>
      <c r="FSH224" s="34"/>
      <c r="FSI224" s="34"/>
      <c r="FSJ224" s="35"/>
      <c r="FSK224" s="35"/>
      <c r="FSL224" s="35"/>
      <c r="FSM224" s="35"/>
      <c r="FSN224" s="35"/>
      <c r="FSO224" s="34"/>
      <c r="FSP224" s="34"/>
      <c r="FSQ224" s="36"/>
      <c r="FSR224" s="36"/>
      <c r="FSS224" s="37"/>
      <c r="FST224" s="37"/>
      <c r="FSU224" s="38"/>
      <c r="FSV224" s="38"/>
      <c r="FSW224" s="39"/>
      <c r="FSX224" s="34"/>
      <c r="FSY224" s="34"/>
      <c r="FSZ224" s="34"/>
      <c r="FTA224" s="35"/>
      <c r="FTB224" s="35"/>
      <c r="FTC224" s="35"/>
      <c r="FTD224" s="35"/>
      <c r="FTE224" s="35"/>
      <c r="FTF224" s="34"/>
      <c r="FTG224" s="34"/>
      <c r="FTH224" s="36"/>
      <c r="FTI224" s="36"/>
      <c r="FTJ224" s="37"/>
      <c r="FTK224" s="37"/>
      <c r="FTL224" s="38"/>
      <c r="FTM224" s="38"/>
      <c r="FTN224" s="39"/>
      <c r="FTO224" s="34"/>
      <c r="FTP224" s="34"/>
      <c r="FTQ224" s="34"/>
      <c r="FTR224" s="35"/>
      <c r="FTS224" s="35"/>
      <c r="FTT224" s="35"/>
      <c r="FTU224" s="35"/>
      <c r="FTV224" s="35"/>
      <c r="FTW224" s="34"/>
      <c r="FTX224" s="34"/>
      <c r="FTY224" s="36"/>
      <c r="FTZ224" s="36"/>
      <c r="FUA224" s="37"/>
      <c r="FUB224" s="37"/>
      <c r="FUC224" s="38"/>
      <c r="FUD224" s="38"/>
      <c r="FUE224" s="39"/>
      <c r="FUF224" s="34"/>
      <c r="FUG224" s="34"/>
      <c r="FUH224" s="34"/>
      <c r="FUI224" s="35"/>
      <c r="FUJ224" s="35"/>
      <c r="FUK224" s="35"/>
      <c r="FUL224" s="35"/>
      <c r="FUM224" s="35"/>
      <c r="FUN224" s="34"/>
      <c r="FUO224" s="34"/>
      <c r="FUP224" s="36"/>
      <c r="FUQ224" s="36"/>
      <c r="FUR224" s="37"/>
      <c r="FUS224" s="37"/>
      <c r="FUT224" s="38"/>
      <c r="FUU224" s="38"/>
      <c r="FUV224" s="39"/>
      <c r="FUW224" s="34"/>
      <c r="FUX224" s="34"/>
      <c r="FUY224" s="34"/>
      <c r="FUZ224" s="35"/>
      <c r="FVA224" s="35"/>
      <c r="FVB224" s="35"/>
      <c r="FVC224" s="35"/>
      <c r="FVD224" s="35"/>
      <c r="FVE224" s="34"/>
      <c r="FVF224" s="34"/>
      <c r="FVG224" s="36"/>
      <c r="FVH224" s="36"/>
      <c r="FVI224" s="37"/>
      <c r="FVJ224" s="37"/>
      <c r="FVK224" s="38"/>
      <c r="FVL224" s="38"/>
      <c r="FVM224" s="39"/>
      <c r="FVN224" s="34"/>
      <c r="FVO224" s="34"/>
      <c r="FVP224" s="34"/>
      <c r="FVQ224" s="35"/>
      <c r="FVR224" s="35"/>
      <c r="FVS224" s="35"/>
      <c r="FVT224" s="35"/>
      <c r="FVU224" s="35"/>
      <c r="FVV224" s="34"/>
      <c r="FVW224" s="34"/>
      <c r="FVX224" s="36"/>
      <c r="FVY224" s="36"/>
      <c r="FVZ224" s="37"/>
      <c r="FWA224" s="37"/>
      <c r="FWB224" s="38"/>
      <c r="FWC224" s="38"/>
      <c r="FWD224" s="39"/>
      <c r="FWE224" s="34"/>
      <c r="FWF224" s="34"/>
      <c r="FWG224" s="34"/>
      <c r="FWH224" s="35"/>
      <c r="FWI224" s="35"/>
      <c r="FWJ224" s="35"/>
      <c r="FWK224" s="35"/>
      <c r="FWL224" s="35"/>
      <c r="FWM224" s="34"/>
      <c r="FWN224" s="34"/>
      <c r="FWO224" s="36"/>
      <c r="FWP224" s="36"/>
      <c r="FWQ224" s="37"/>
      <c r="FWR224" s="37"/>
      <c r="FWS224" s="38"/>
      <c r="FWT224" s="38"/>
      <c r="FWU224" s="39"/>
      <c r="FWV224" s="34"/>
      <c r="FWW224" s="34"/>
      <c r="FWX224" s="34"/>
      <c r="FWY224" s="35"/>
      <c r="FWZ224" s="35"/>
      <c r="FXA224" s="35"/>
      <c r="FXB224" s="35"/>
      <c r="FXC224" s="35"/>
      <c r="FXD224" s="34"/>
      <c r="FXE224" s="34"/>
      <c r="FXF224" s="36"/>
      <c r="FXG224" s="36"/>
      <c r="FXH224" s="37"/>
      <c r="FXI224" s="37"/>
      <c r="FXJ224" s="38"/>
      <c r="FXK224" s="38"/>
      <c r="FXL224" s="39"/>
      <c r="FXM224" s="34"/>
      <c r="FXN224" s="34"/>
      <c r="FXO224" s="34"/>
      <c r="FXP224" s="35"/>
      <c r="FXQ224" s="35"/>
      <c r="FXR224" s="35"/>
      <c r="FXS224" s="35"/>
      <c r="FXT224" s="35"/>
      <c r="FXU224" s="34"/>
      <c r="FXV224" s="34"/>
      <c r="FXW224" s="36"/>
      <c r="FXX224" s="36"/>
      <c r="FXY224" s="37"/>
      <c r="FXZ224" s="37"/>
      <c r="FYA224" s="38"/>
      <c r="FYB224" s="38"/>
      <c r="FYC224" s="39"/>
      <c r="FYD224" s="34"/>
      <c r="FYE224" s="34"/>
      <c r="FYF224" s="34"/>
      <c r="FYG224" s="35"/>
      <c r="FYH224" s="35"/>
      <c r="FYI224" s="35"/>
      <c r="FYJ224" s="35"/>
      <c r="FYK224" s="35"/>
      <c r="FYL224" s="34"/>
      <c r="FYM224" s="34"/>
      <c r="FYN224" s="36"/>
      <c r="FYO224" s="36"/>
      <c r="FYP224" s="37"/>
      <c r="FYQ224" s="37"/>
      <c r="FYR224" s="38"/>
      <c r="FYS224" s="38"/>
      <c r="FYT224" s="39"/>
      <c r="FYU224" s="34"/>
      <c r="FYV224" s="34"/>
      <c r="FYW224" s="34"/>
      <c r="FYX224" s="35"/>
      <c r="FYY224" s="35"/>
      <c r="FYZ224" s="35"/>
      <c r="FZA224" s="35"/>
      <c r="FZB224" s="35"/>
      <c r="FZC224" s="34"/>
      <c r="FZD224" s="34"/>
      <c r="FZE224" s="36"/>
      <c r="FZF224" s="36"/>
      <c r="FZG224" s="37"/>
      <c r="FZH224" s="37"/>
      <c r="FZI224" s="38"/>
      <c r="FZJ224" s="38"/>
      <c r="FZK224" s="39"/>
      <c r="FZL224" s="34"/>
      <c r="FZM224" s="34"/>
      <c r="FZN224" s="34"/>
      <c r="FZO224" s="35"/>
      <c r="FZP224" s="35"/>
      <c r="FZQ224" s="35"/>
      <c r="FZR224" s="35"/>
      <c r="FZS224" s="35"/>
      <c r="FZT224" s="34"/>
      <c r="FZU224" s="34"/>
      <c r="FZV224" s="36"/>
      <c r="FZW224" s="36"/>
      <c r="FZX224" s="37"/>
      <c r="FZY224" s="37"/>
      <c r="FZZ224" s="38"/>
      <c r="GAA224" s="38"/>
      <c r="GAB224" s="39"/>
      <c r="GAC224" s="34"/>
      <c r="GAD224" s="34"/>
      <c r="GAE224" s="34"/>
      <c r="GAF224" s="35"/>
      <c r="GAG224" s="35"/>
      <c r="GAH224" s="35"/>
      <c r="GAI224" s="35"/>
      <c r="GAJ224" s="35"/>
      <c r="GAK224" s="34"/>
      <c r="GAL224" s="34"/>
      <c r="GAM224" s="36"/>
      <c r="GAN224" s="36"/>
      <c r="GAO224" s="37"/>
      <c r="GAP224" s="37"/>
      <c r="GAQ224" s="38"/>
      <c r="GAR224" s="38"/>
      <c r="GAS224" s="39"/>
      <c r="GAT224" s="34"/>
      <c r="GAU224" s="34"/>
      <c r="GAV224" s="34"/>
      <c r="GAW224" s="35"/>
      <c r="GAX224" s="35"/>
      <c r="GAY224" s="35"/>
      <c r="GAZ224" s="35"/>
      <c r="GBA224" s="35"/>
      <c r="GBB224" s="34"/>
      <c r="GBC224" s="34"/>
      <c r="GBD224" s="36"/>
      <c r="GBE224" s="36"/>
      <c r="GBF224" s="37"/>
      <c r="GBG224" s="37"/>
      <c r="GBH224" s="38"/>
      <c r="GBI224" s="38"/>
      <c r="GBJ224" s="39"/>
      <c r="GBK224" s="34"/>
      <c r="GBL224" s="34"/>
      <c r="GBM224" s="34"/>
      <c r="GBN224" s="35"/>
      <c r="GBO224" s="35"/>
      <c r="GBP224" s="35"/>
      <c r="GBQ224" s="35"/>
      <c r="GBR224" s="35"/>
      <c r="GBS224" s="34"/>
      <c r="GBT224" s="34"/>
      <c r="GBU224" s="36"/>
      <c r="GBV224" s="36"/>
      <c r="GBW224" s="37"/>
      <c r="GBX224" s="37"/>
      <c r="GBY224" s="38"/>
      <c r="GBZ224" s="38"/>
      <c r="GCA224" s="39"/>
      <c r="GCB224" s="34"/>
      <c r="GCC224" s="34"/>
      <c r="GCD224" s="34"/>
      <c r="GCE224" s="35"/>
      <c r="GCF224" s="35"/>
      <c r="GCG224" s="35"/>
      <c r="GCH224" s="35"/>
      <c r="GCI224" s="35"/>
      <c r="GCJ224" s="34"/>
      <c r="GCK224" s="34"/>
      <c r="GCL224" s="36"/>
      <c r="GCM224" s="36"/>
      <c r="GCN224" s="37"/>
      <c r="GCO224" s="37"/>
      <c r="GCP224" s="38"/>
      <c r="GCQ224" s="38"/>
      <c r="GCR224" s="39"/>
      <c r="GCS224" s="34"/>
      <c r="GCT224" s="34"/>
      <c r="GCU224" s="34"/>
      <c r="GCV224" s="35"/>
      <c r="GCW224" s="35"/>
      <c r="GCX224" s="35"/>
      <c r="GCY224" s="35"/>
      <c r="GCZ224" s="35"/>
      <c r="GDA224" s="34"/>
      <c r="GDB224" s="34"/>
      <c r="GDC224" s="36"/>
      <c r="GDD224" s="36"/>
      <c r="GDE224" s="37"/>
      <c r="GDF224" s="37"/>
      <c r="GDG224" s="38"/>
      <c r="GDH224" s="38"/>
      <c r="GDI224" s="39"/>
      <c r="GDJ224" s="34"/>
      <c r="GDK224" s="34"/>
      <c r="GDL224" s="34"/>
      <c r="GDM224" s="35"/>
      <c r="GDN224" s="35"/>
      <c r="GDO224" s="35"/>
      <c r="GDP224" s="35"/>
      <c r="GDQ224" s="35"/>
      <c r="GDR224" s="34"/>
      <c r="GDS224" s="34"/>
      <c r="GDT224" s="36"/>
      <c r="GDU224" s="36"/>
      <c r="GDV224" s="37"/>
      <c r="GDW224" s="37"/>
      <c r="GDX224" s="38"/>
      <c r="GDY224" s="38"/>
      <c r="GDZ224" s="39"/>
      <c r="GEA224" s="34"/>
      <c r="GEB224" s="34"/>
      <c r="GEC224" s="34"/>
      <c r="GED224" s="35"/>
      <c r="GEE224" s="35"/>
      <c r="GEF224" s="35"/>
      <c r="GEG224" s="35"/>
      <c r="GEH224" s="35"/>
      <c r="GEI224" s="34"/>
      <c r="GEJ224" s="34"/>
      <c r="GEK224" s="36"/>
      <c r="GEL224" s="36"/>
      <c r="GEM224" s="37"/>
      <c r="GEN224" s="37"/>
      <c r="GEO224" s="38"/>
      <c r="GEP224" s="38"/>
      <c r="GEQ224" s="39"/>
      <c r="GER224" s="34"/>
      <c r="GES224" s="34"/>
      <c r="GET224" s="34"/>
      <c r="GEU224" s="35"/>
      <c r="GEV224" s="35"/>
      <c r="GEW224" s="35"/>
      <c r="GEX224" s="35"/>
      <c r="GEY224" s="35"/>
      <c r="GEZ224" s="34"/>
      <c r="GFA224" s="34"/>
      <c r="GFB224" s="36"/>
      <c r="GFC224" s="36"/>
      <c r="GFD224" s="37"/>
      <c r="GFE224" s="37"/>
      <c r="GFF224" s="38"/>
      <c r="GFG224" s="38"/>
      <c r="GFH224" s="39"/>
      <c r="GFI224" s="34"/>
      <c r="GFJ224" s="34"/>
      <c r="GFK224" s="34"/>
      <c r="GFL224" s="35"/>
      <c r="GFM224" s="35"/>
      <c r="GFN224" s="35"/>
      <c r="GFO224" s="35"/>
      <c r="GFP224" s="35"/>
      <c r="GFQ224" s="34"/>
      <c r="GFR224" s="34"/>
      <c r="GFS224" s="36"/>
      <c r="GFT224" s="36"/>
      <c r="GFU224" s="37"/>
      <c r="GFV224" s="37"/>
      <c r="GFW224" s="38"/>
      <c r="GFX224" s="38"/>
      <c r="GFY224" s="39"/>
      <c r="GFZ224" s="34"/>
      <c r="GGA224" s="34"/>
      <c r="GGB224" s="34"/>
      <c r="GGC224" s="35"/>
      <c r="GGD224" s="35"/>
      <c r="GGE224" s="35"/>
      <c r="GGF224" s="35"/>
      <c r="GGG224" s="35"/>
      <c r="GGH224" s="34"/>
      <c r="GGI224" s="34"/>
      <c r="GGJ224" s="36"/>
      <c r="GGK224" s="36"/>
      <c r="GGL224" s="37"/>
      <c r="GGM224" s="37"/>
      <c r="GGN224" s="38"/>
      <c r="GGO224" s="38"/>
      <c r="GGP224" s="39"/>
      <c r="GGQ224" s="34"/>
      <c r="GGR224" s="34"/>
      <c r="GGS224" s="34"/>
      <c r="GGT224" s="35"/>
      <c r="GGU224" s="35"/>
      <c r="GGV224" s="35"/>
      <c r="GGW224" s="35"/>
      <c r="GGX224" s="35"/>
      <c r="GGY224" s="34"/>
      <c r="GGZ224" s="34"/>
      <c r="GHA224" s="36"/>
      <c r="GHB224" s="36"/>
      <c r="GHC224" s="37"/>
      <c r="GHD224" s="37"/>
      <c r="GHE224" s="38"/>
      <c r="GHF224" s="38"/>
      <c r="GHG224" s="39"/>
      <c r="GHH224" s="34"/>
      <c r="GHI224" s="34"/>
      <c r="GHJ224" s="34"/>
      <c r="GHK224" s="35"/>
      <c r="GHL224" s="35"/>
      <c r="GHM224" s="35"/>
      <c r="GHN224" s="35"/>
      <c r="GHO224" s="35"/>
      <c r="GHP224" s="34"/>
      <c r="GHQ224" s="34"/>
      <c r="GHR224" s="36"/>
      <c r="GHS224" s="36"/>
      <c r="GHT224" s="37"/>
      <c r="GHU224" s="37"/>
      <c r="GHV224" s="38"/>
      <c r="GHW224" s="38"/>
      <c r="GHX224" s="39"/>
      <c r="GHY224" s="34"/>
      <c r="GHZ224" s="34"/>
      <c r="GIA224" s="34"/>
      <c r="GIB224" s="35"/>
      <c r="GIC224" s="35"/>
      <c r="GID224" s="35"/>
      <c r="GIE224" s="35"/>
      <c r="GIF224" s="35"/>
      <c r="GIG224" s="34"/>
      <c r="GIH224" s="34"/>
      <c r="GII224" s="36"/>
      <c r="GIJ224" s="36"/>
      <c r="GIK224" s="37"/>
      <c r="GIL224" s="37"/>
      <c r="GIM224" s="38"/>
      <c r="GIN224" s="38"/>
      <c r="GIO224" s="39"/>
      <c r="GIP224" s="34"/>
      <c r="GIQ224" s="34"/>
      <c r="GIR224" s="34"/>
      <c r="GIS224" s="35"/>
      <c r="GIT224" s="35"/>
      <c r="GIU224" s="35"/>
      <c r="GIV224" s="35"/>
      <c r="GIW224" s="35"/>
      <c r="GIX224" s="34"/>
      <c r="GIY224" s="34"/>
      <c r="GIZ224" s="36"/>
      <c r="GJA224" s="36"/>
      <c r="GJB224" s="37"/>
      <c r="GJC224" s="37"/>
      <c r="GJD224" s="38"/>
      <c r="GJE224" s="38"/>
      <c r="GJF224" s="39"/>
      <c r="GJG224" s="34"/>
      <c r="GJH224" s="34"/>
      <c r="GJI224" s="34"/>
      <c r="GJJ224" s="35"/>
      <c r="GJK224" s="35"/>
      <c r="GJL224" s="35"/>
      <c r="GJM224" s="35"/>
      <c r="GJN224" s="35"/>
      <c r="GJO224" s="34"/>
      <c r="GJP224" s="34"/>
      <c r="GJQ224" s="36"/>
      <c r="GJR224" s="36"/>
      <c r="GJS224" s="37"/>
      <c r="GJT224" s="37"/>
      <c r="GJU224" s="38"/>
      <c r="GJV224" s="38"/>
      <c r="GJW224" s="39"/>
      <c r="GJX224" s="34"/>
      <c r="GJY224" s="34"/>
      <c r="GJZ224" s="34"/>
      <c r="GKA224" s="35"/>
      <c r="GKB224" s="35"/>
      <c r="GKC224" s="35"/>
      <c r="GKD224" s="35"/>
      <c r="GKE224" s="35"/>
      <c r="GKF224" s="34"/>
      <c r="GKG224" s="34"/>
      <c r="GKH224" s="36"/>
      <c r="GKI224" s="36"/>
      <c r="GKJ224" s="37"/>
      <c r="GKK224" s="37"/>
      <c r="GKL224" s="38"/>
      <c r="GKM224" s="38"/>
      <c r="GKN224" s="39"/>
      <c r="GKO224" s="34"/>
      <c r="GKP224" s="34"/>
      <c r="GKQ224" s="34"/>
      <c r="GKR224" s="35"/>
      <c r="GKS224" s="35"/>
      <c r="GKT224" s="35"/>
      <c r="GKU224" s="35"/>
      <c r="GKV224" s="35"/>
      <c r="GKW224" s="34"/>
      <c r="GKX224" s="34"/>
      <c r="GKY224" s="36"/>
      <c r="GKZ224" s="36"/>
      <c r="GLA224" s="37"/>
      <c r="GLB224" s="37"/>
      <c r="GLC224" s="38"/>
      <c r="GLD224" s="38"/>
      <c r="GLE224" s="39"/>
      <c r="GLF224" s="34"/>
      <c r="GLG224" s="34"/>
      <c r="GLH224" s="34"/>
      <c r="GLI224" s="35"/>
      <c r="GLJ224" s="35"/>
      <c r="GLK224" s="35"/>
      <c r="GLL224" s="35"/>
      <c r="GLM224" s="35"/>
      <c r="GLN224" s="34"/>
      <c r="GLO224" s="34"/>
      <c r="GLP224" s="36"/>
      <c r="GLQ224" s="36"/>
      <c r="GLR224" s="37"/>
      <c r="GLS224" s="37"/>
      <c r="GLT224" s="38"/>
      <c r="GLU224" s="38"/>
      <c r="GLV224" s="39"/>
      <c r="GLW224" s="34"/>
      <c r="GLX224" s="34"/>
      <c r="GLY224" s="34"/>
      <c r="GLZ224" s="35"/>
      <c r="GMA224" s="35"/>
      <c r="GMB224" s="35"/>
      <c r="GMC224" s="35"/>
      <c r="GMD224" s="35"/>
      <c r="GME224" s="34"/>
      <c r="GMF224" s="34"/>
      <c r="GMG224" s="36"/>
      <c r="GMH224" s="36"/>
      <c r="GMI224" s="37"/>
      <c r="GMJ224" s="37"/>
      <c r="GMK224" s="38"/>
      <c r="GML224" s="38"/>
      <c r="GMM224" s="39"/>
      <c r="GMN224" s="34"/>
      <c r="GMO224" s="34"/>
      <c r="GMP224" s="34"/>
      <c r="GMQ224" s="35"/>
      <c r="GMR224" s="35"/>
      <c r="GMS224" s="35"/>
      <c r="GMT224" s="35"/>
      <c r="GMU224" s="35"/>
      <c r="GMV224" s="34"/>
      <c r="GMW224" s="34"/>
      <c r="GMX224" s="36"/>
      <c r="GMY224" s="36"/>
      <c r="GMZ224" s="37"/>
      <c r="GNA224" s="37"/>
      <c r="GNB224" s="38"/>
      <c r="GNC224" s="38"/>
      <c r="GND224" s="39"/>
      <c r="GNE224" s="34"/>
      <c r="GNF224" s="34"/>
      <c r="GNG224" s="34"/>
      <c r="GNH224" s="35"/>
      <c r="GNI224" s="35"/>
      <c r="GNJ224" s="35"/>
      <c r="GNK224" s="35"/>
      <c r="GNL224" s="35"/>
      <c r="GNM224" s="34"/>
      <c r="GNN224" s="34"/>
      <c r="GNO224" s="36"/>
      <c r="GNP224" s="36"/>
      <c r="GNQ224" s="37"/>
      <c r="GNR224" s="37"/>
      <c r="GNS224" s="38"/>
      <c r="GNT224" s="38"/>
      <c r="GNU224" s="39"/>
      <c r="GNV224" s="34"/>
      <c r="GNW224" s="34"/>
      <c r="GNX224" s="34"/>
      <c r="GNY224" s="35"/>
      <c r="GNZ224" s="35"/>
      <c r="GOA224" s="35"/>
      <c r="GOB224" s="35"/>
      <c r="GOC224" s="35"/>
      <c r="GOD224" s="34"/>
      <c r="GOE224" s="34"/>
      <c r="GOF224" s="36"/>
      <c r="GOG224" s="36"/>
      <c r="GOH224" s="37"/>
      <c r="GOI224" s="37"/>
      <c r="GOJ224" s="38"/>
      <c r="GOK224" s="38"/>
      <c r="GOL224" s="39"/>
      <c r="GOM224" s="34"/>
      <c r="GON224" s="34"/>
      <c r="GOO224" s="34"/>
      <c r="GOP224" s="35"/>
      <c r="GOQ224" s="35"/>
      <c r="GOR224" s="35"/>
      <c r="GOS224" s="35"/>
      <c r="GOT224" s="35"/>
      <c r="GOU224" s="34"/>
      <c r="GOV224" s="34"/>
      <c r="GOW224" s="36"/>
      <c r="GOX224" s="36"/>
      <c r="GOY224" s="37"/>
      <c r="GOZ224" s="37"/>
      <c r="GPA224" s="38"/>
      <c r="GPB224" s="38"/>
      <c r="GPC224" s="39"/>
      <c r="GPD224" s="34"/>
      <c r="GPE224" s="34"/>
      <c r="GPF224" s="34"/>
      <c r="GPG224" s="35"/>
      <c r="GPH224" s="35"/>
      <c r="GPI224" s="35"/>
      <c r="GPJ224" s="35"/>
      <c r="GPK224" s="35"/>
      <c r="GPL224" s="34"/>
      <c r="GPM224" s="34"/>
      <c r="GPN224" s="36"/>
      <c r="GPO224" s="36"/>
      <c r="GPP224" s="37"/>
      <c r="GPQ224" s="37"/>
      <c r="GPR224" s="38"/>
      <c r="GPS224" s="38"/>
      <c r="GPT224" s="39"/>
      <c r="GPU224" s="34"/>
      <c r="GPV224" s="34"/>
      <c r="GPW224" s="34"/>
      <c r="GPX224" s="35"/>
      <c r="GPY224" s="35"/>
      <c r="GPZ224" s="35"/>
      <c r="GQA224" s="35"/>
      <c r="GQB224" s="35"/>
      <c r="GQC224" s="34"/>
      <c r="GQD224" s="34"/>
      <c r="GQE224" s="36"/>
      <c r="GQF224" s="36"/>
      <c r="GQG224" s="37"/>
      <c r="GQH224" s="37"/>
      <c r="GQI224" s="38"/>
      <c r="GQJ224" s="38"/>
      <c r="GQK224" s="39"/>
      <c r="GQL224" s="34"/>
      <c r="GQM224" s="34"/>
      <c r="GQN224" s="34"/>
      <c r="GQO224" s="35"/>
      <c r="GQP224" s="35"/>
      <c r="GQQ224" s="35"/>
      <c r="GQR224" s="35"/>
      <c r="GQS224" s="35"/>
      <c r="GQT224" s="34"/>
      <c r="GQU224" s="34"/>
      <c r="GQV224" s="36"/>
      <c r="GQW224" s="36"/>
      <c r="GQX224" s="37"/>
      <c r="GQY224" s="37"/>
      <c r="GQZ224" s="38"/>
      <c r="GRA224" s="38"/>
      <c r="GRB224" s="39"/>
      <c r="GRC224" s="34"/>
      <c r="GRD224" s="34"/>
      <c r="GRE224" s="34"/>
      <c r="GRF224" s="35"/>
      <c r="GRG224" s="35"/>
      <c r="GRH224" s="35"/>
      <c r="GRI224" s="35"/>
      <c r="GRJ224" s="35"/>
      <c r="GRK224" s="34"/>
      <c r="GRL224" s="34"/>
      <c r="GRM224" s="36"/>
      <c r="GRN224" s="36"/>
      <c r="GRO224" s="37"/>
      <c r="GRP224" s="37"/>
      <c r="GRQ224" s="38"/>
      <c r="GRR224" s="38"/>
      <c r="GRS224" s="39"/>
      <c r="GRT224" s="34"/>
      <c r="GRU224" s="34"/>
      <c r="GRV224" s="34"/>
      <c r="GRW224" s="35"/>
      <c r="GRX224" s="35"/>
      <c r="GRY224" s="35"/>
      <c r="GRZ224" s="35"/>
      <c r="GSA224" s="35"/>
      <c r="GSB224" s="34"/>
      <c r="GSC224" s="34"/>
      <c r="GSD224" s="36"/>
      <c r="GSE224" s="36"/>
      <c r="GSF224" s="37"/>
      <c r="GSG224" s="37"/>
      <c r="GSH224" s="38"/>
      <c r="GSI224" s="38"/>
      <c r="GSJ224" s="39"/>
      <c r="GSK224" s="34"/>
      <c r="GSL224" s="34"/>
      <c r="GSM224" s="34"/>
      <c r="GSN224" s="35"/>
      <c r="GSO224" s="35"/>
      <c r="GSP224" s="35"/>
      <c r="GSQ224" s="35"/>
      <c r="GSR224" s="35"/>
      <c r="GSS224" s="34"/>
      <c r="GST224" s="34"/>
      <c r="GSU224" s="36"/>
      <c r="GSV224" s="36"/>
      <c r="GSW224" s="37"/>
      <c r="GSX224" s="37"/>
      <c r="GSY224" s="38"/>
      <c r="GSZ224" s="38"/>
      <c r="GTA224" s="39"/>
      <c r="GTB224" s="34"/>
      <c r="GTC224" s="34"/>
      <c r="GTD224" s="34"/>
      <c r="GTE224" s="35"/>
      <c r="GTF224" s="35"/>
      <c r="GTG224" s="35"/>
      <c r="GTH224" s="35"/>
      <c r="GTI224" s="35"/>
      <c r="GTJ224" s="34"/>
      <c r="GTK224" s="34"/>
      <c r="GTL224" s="36"/>
      <c r="GTM224" s="36"/>
      <c r="GTN224" s="37"/>
      <c r="GTO224" s="37"/>
      <c r="GTP224" s="38"/>
      <c r="GTQ224" s="38"/>
      <c r="GTR224" s="39"/>
      <c r="GTS224" s="34"/>
      <c r="GTT224" s="34"/>
      <c r="GTU224" s="34"/>
      <c r="GTV224" s="35"/>
      <c r="GTW224" s="35"/>
      <c r="GTX224" s="35"/>
      <c r="GTY224" s="35"/>
      <c r="GTZ224" s="35"/>
      <c r="GUA224" s="34"/>
      <c r="GUB224" s="34"/>
      <c r="GUC224" s="36"/>
      <c r="GUD224" s="36"/>
      <c r="GUE224" s="37"/>
      <c r="GUF224" s="37"/>
      <c r="GUG224" s="38"/>
      <c r="GUH224" s="38"/>
      <c r="GUI224" s="39"/>
      <c r="GUJ224" s="34"/>
      <c r="GUK224" s="34"/>
      <c r="GUL224" s="34"/>
      <c r="GUM224" s="35"/>
      <c r="GUN224" s="35"/>
      <c r="GUO224" s="35"/>
      <c r="GUP224" s="35"/>
      <c r="GUQ224" s="35"/>
      <c r="GUR224" s="34"/>
      <c r="GUS224" s="34"/>
      <c r="GUT224" s="36"/>
      <c r="GUU224" s="36"/>
      <c r="GUV224" s="37"/>
      <c r="GUW224" s="37"/>
      <c r="GUX224" s="38"/>
      <c r="GUY224" s="38"/>
      <c r="GUZ224" s="39"/>
      <c r="GVA224" s="34"/>
      <c r="GVB224" s="34"/>
      <c r="GVC224" s="34"/>
      <c r="GVD224" s="35"/>
      <c r="GVE224" s="35"/>
      <c r="GVF224" s="35"/>
      <c r="GVG224" s="35"/>
      <c r="GVH224" s="35"/>
      <c r="GVI224" s="34"/>
      <c r="GVJ224" s="34"/>
      <c r="GVK224" s="36"/>
      <c r="GVL224" s="36"/>
      <c r="GVM224" s="37"/>
      <c r="GVN224" s="37"/>
      <c r="GVO224" s="38"/>
      <c r="GVP224" s="38"/>
      <c r="GVQ224" s="39"/>
      <c r="GVR224" s="34"/>
      <c r="GVS224" s="34"/>
      <c r="GVT224" s="34"/>
      <c r="GVU224" s="35"/>
      <c r="GVV224" s="35"/>
      <c r="GVW224" s="35"/>
      <c r="GVX224" s="35"/>
      <c r="GVY224" s="35"/>
      <c r="GVZ224" s="34"/>
      <c r="GWA224" s="34"/>
      <c r="GWB224" s="36"/>
      <c r="GWC224" s="36"/>
      <c r="GWD224" s="37"/>
      <c r="GWE224" s="37"/>
      <c r="GWF224" s="38"/>
      <c r="GWG224" s="38"/>
      <c r="GWH224" s="39"/>
      <c r="GWI224" s="34"/>
      <c r="GWJ224" s="34"/>
      <c r="GWK224" s="34"/>
      <c r="GWL224" s="35"/>
      <c r="GWM224" s="35"/>
      <c r="GWN224" s="35"/>
      <c r="GWO224" s="35"/>
      <c r="GWP224" s="35"/>
      <c r="GWQ224" s="34"/>
      <c r="GWR224" s="34"/>
      <c r="GWS224" s="36"/>
      <c r="GWT224" s="36"/>
      <c r="GWU224" s="37"/>
      <c r="GWV224" s="37"/>
      <c r="GWW224" s="38"/>
      <c r="GWX224" s="38"/>
      <c r="GWY224" s="39"/>
      <c r="GWZ224" s="34"/>
      <c r="GXA224" s="34"/>
      <c r="GXB224" s="34"/>
      <c r="GXC224" s="35"/>
      <c r="GXD224" s="35"/>
      <c r="GXE224" s="35"/>
      <c r="GXF224" s="35"/>
      <c r="GXG224" s="35"/>
      <c r="GXH224" s="34"/>
      <c r="GXI224" s="34"/>
      <c r="GXJ224" s="36"/>
      <c r="GXK224" s="36"/>
      <c r="GXL224" s="37"/>
      <c r="GXM224" s="37"/>
      <c r="GXN224" s="38"/>
      <c r="GXO224" s="38"/>
      <c r="GXP224" s="39"/>
      <c r="GXQ224" s="34"/>
      <c r="GXR224" s="34"/>
      <c r="GXS224" s="34"/>
      <c r="GXT224" s="35"/>
      <c r="GXU224" s="35"/>
      <c r="GXV224" s="35"/>
      <c r="GXW224" s="35"/>
      <c r="GXX224" s="35"/>
      <c r="GXY224" s="34"/>
      <c r="GXZ224" s="34"/>
      <c r="GYA224" s="36"/>
      <c r="GYB224" s="36"/>
      <c r="GYC224" s="37"/>
      <c r="GYD224" s="37"/>
      <c r="GYE224" s="38"/>
      <c r="GYF224" s="38"/>
      <c r="GYG224" s="39"/>
      <c r="GYH224" s="34"/>
      <c r="GYI224" s="34"/>
      <c r="GYJ224" s="34"/>
      <c r="GYK224" s="35"/>
      <c r="GYL224" s="35"/>
      <c r="GYM224" s="35"/>
      <c r="GYN224" s="35"/>
      <c r="GYO224" s="35"/>
      <c r="GYP224" s="34"/>
      <c r="GYQ224" s="34"/>
      <c r="GYR224" s="36"/>
      <c r="GYS224" s="36"/>
      <c r="GYT224" s="37"/>
      <c r="GYU224" s="37"/>
      <c r="GYV224" s="38"/>
      <c r="GYW224" s="38"/>
      <c r="GYX224" s="39"/>
      <c r="GYY224" s="34"/>
      <c r="GYZ224" s="34"/>
      <c r="GZA224" s="34"/>
      <c r="GZB224" s="35"/>
      <c r="GZC224" s="35"/>
      <c r="GZD224" s="35"/>
      <c r="GZE224" s="35"/>
      <c r="GZF224" s="35"/>
      <c r="GZG224" s="34"/>
      <c r="GZH224" s="34"/>
      <c r="GZI224" s="36"/>
      <c r="GZJ224" s="36"/>
      <c r="GZK224" s="37"/>
      <c r="GZL224" s="37"/>
      <c r="GZM224" s="38"/>
      <c r="GZN224" s="38"/>
      <c r="GZO224" s="39"/>
      <c r="GZP224" s="34"/>
      <c r="GZQ224" s="34"/>
      <c r="GZR224" s="34"/>
      <c r="GZS224" s="35"/>
      <c r="GZT224" s="35"/>
      <c r="GZU224" s="35"/>
      <c r="GZV224" s="35"/>
      <c r="GZW224" s="35"/>
      <c r="GZX224" s="34"/>
      <c r="GZY224" s="34"/>
      <c r="GZZ224" s="36"/>
      <c r="HAA224" s="36"/>
      <c r="HAB224" s="37"/>
      <c r="HAC224" s="37"/>
      <c r="HAD224" s="38"/>
      <c r="HAE224" s="38"/>
      <c r="HAF224" s="39"/>
      <c r="HAG224" s="34"/>
      <c r="HAH224" s="34"/>
      <c r="HAI224" s="34"/>
      <c r="HAJ224" s="35"/>
      <c r="HAK224" s="35"/>
      <c r="HAL224" s="35"/>
      <c r="HAM224" s="35"/>
      <c r="HAN224" s="35"/>
      <c r="HAO224" s="34"/>
      <c r="HAP224" s="34"/>
      <c r="HAQ224" s="36"/>
      <c r="HAR224" s="36"/>
      <c r="HAS224" s="37"/>
      <c r="HAT224" s="37"/>
      <c r="HAU224" s="38"/>
      <c r="HAV224" s="38"/>
      <c r="HAW224" s="39"/>
      <c r="HAX224" s="34"/>
      <c r="HAY224" s="34"/>
      <c r="HAZ224" s="34"/>
      <c r="HBA224" s="35"/>
      <c r="HBB224" s="35"/>
      <c r="HBC224" s="35"/>
      <c r="HBD224" s="35"/>
      <c r="HBE224" s="35"/>
      <c r="HBF224" s="34"/>
      <c r="HBG224" s="34"/>
      <c r="HBH224" s="36"/>
      <c r="HBI224" s="36"/>
      <c r="HBJ224" s="37"/>
      <c r="HBK224" s="37"/>
      <c r="HBL224" s="38"/>
      <c r="HBM224" s="38"/>
      <c r="HBN224" s="39"/>
      <c r="HBO224" s="34"/>
      <c r="HBP224" s="34"/>
      <c r="HBQ224" s="34"/>
      <c r="HBR224" s="35"/>
      <c r="HBS224" s="35"/>
      <c r="HBT224" s="35"/>
      <c r="HBU224" s="35"/>
      <c r="HBV224" s="35"/>
      <c r="HBW224" s="34"/>
      <c r="HBX224" s="34"/>
      <c r="HBY224" s="36"/>
      <c r="HBZ224" s="36"/>
      <c r="HCA224" s="37"/>
      <c r="HCB224" s="37"/>
      <c r="HCC224" s="38"/>
      <c r="HCD224" s="38"/>
      <c r="HCE224" s="39"/>
      <c r="HCF224" s="34"/>
      <c r="HCG224" s="34"/>
      <c r="HCH224" s="34"/>
      <c r="HCI224" s="35"/>
      <c r="HCJ224" s="35"/>
      <c r="HCK224" s="35"/>
      <c r="HCL224" s="35"/>
      <c r="HCM224" s="35"/>
      <c r="HCN224" s="34"/>
      <c r="HCO224" s="34"/>
      <c r="HCP224" s="36"/>
      <c r="HCQ224" s="36"/>
      <c r="HCR224" s="37"/>
      <c r="HCS224" s="37"/>
      <c r="HCT224" s="38"/>
      <c r="HCU224" s="38"/>
      <c r="HCV224" s="39"/>
      <c r="HCW224" s="34"/>
      <c r="HCX224" s="34"/>
      <c r="HCY224" s="34"/>
      <c r="HCZ224" s="35"/>
      <c r="HDA224" s="35"/>
      <c r="HDB224" s="35"/>
      <c r="HDC224" s="35"/>
      <c r="HDD224" s="35"/>
      <c r="HDE224" s="34"/>
      <c r="HDF224" s="34"/>
      <c r="HDG224" s="36"/>
      <c r="HDH224" s="36"/>
      <c r="HDI224" s="37"/>
      <c r="HDJ224" s="37"/>
      <c r="HDK224" s="38"/>
      <c r="HDL224" s="38"/>
      <c r="HDM224" s="39"/>
      <c r="HDN224" s="34"/>
      <c r="HDO224" s="34"/>
      <c r="HDP224" s="34"/>
      <c r="HDQ224" s="35"/>
      <c r="HDR224" s="35"/>
      <c r="HDS224" s="35"/>
      <c r="HDT224" s="35"/>
      <c r="HDU224" s="35"/>
      <c r="HDV224" s="34"/>
      <c r="HDW224" s="34"/>
      <c r="HDX224" s="36"/>
      <c r="HDY224" s="36"/>
      <c r="HDZ224" s="37"/>
      <c r="HEA224" s="37"/>
      <c r="HEB224" s="38"/>
      <c r="HEC224" s="38"/>
      <c r="HED224" s="39"/>
      <c r="HEE224" s="34"/>
      <c r="HEF224" s="34"/>
      <c r="HEG224" s="34"/>
      <c r="HEH224" s="35"/>
      <c r="HEI224" s="35"/>
      <c r="HEJ224" s="35"/>
      <c r="HEK224" s="35"/>
      <c r="HEL224" s="35"/>
      <c r="HEM224" s="34"/>
      <c r="HEN224" s="34"/>
      <c r="HEO224" s="36"/>
      <c r="HEP224" s="36"/>
      <c r="HEQ224" s="37"/>
      <c r="HER224" s="37"/>
      <c r="HES224" s="38"/>
      <c r="HET224" s="38"/>
      <c r="HEU224" s="39"/>
      <c r="HEV224" s="34"/>
      <c r="HEW224" s="34"/>
      <c r="HEX224" s="34"/>
      <c r="HEY224" s="35"/>
      <c r="HEZ224" s="35"/>
      <c r="HFA224" s="35"/>
      <c r="HFB224" s="35"/>
      <c r="HFC224" s="35"/>
      <c r="HFD224" s="34"/>
      <c r="HFE224" s="34"/>
      <c r="HFF224" s="36"/>
      <c r="HFG224" s="36"/>
      <c r="HFH224" s="37"/>
      <c r="HFI224" s="37"/>
      <c r="HFJ224" s="38"/>
      <c r="HFK224" s="38"/>
      <c r="HFL224" s="39"/>
      <c r="HFM224" s="34"/>
      <c r="HFN224" s="34"/>
      <c r="HFO224" s="34"/>
      <c r="HFP224" s="35"/>
      <c r="HFQ224" s="35"/>
      <c r="HFR224" s="35"/>
      <c r="HFS224" s="35"/>
      <c r="HFT224" s="35"/>
      <c r="HFU224" s="34"/>
      <c r="HFV224" s="34"/>
      <c r="HFW224" s="36"/>
      <c r="HFX224" s="36"/>
      <c r="HFY224" s="37"/>
      <c r="HFZ224" s="37"/>
      <c r="HGA224" s="38"/>
      <c r="HGB224" s="38"/>
      <c r="HGC224" s="39"/>
      <c r="HGD224" s="34"/>
      <c r="HGE224" s="34"/>
      <c r="HGF224" s="34"/>
      <c r="HGG224" s="35"/>
      <c r="HGH224" s="35"/>
      <c r="HGI224" s="35"/>
      <c r="HGJ224" s="35"/>
      <c r="HGK224" s="35"/>
      <c r="HGL224" s="34"/>
      <c r="HGM224" s="34"/>
      <c r="HGN224" s="36"/>
      <c r="HGO224" s="36"/>
      <c r="HGP224" s="37"/>
      <c r="HGQ224" s="37"/>
      <c r="HGR224" s="38"/>
      <c r="HGS224" s="38"/>
      <c r="HGT224" s="39"/>
      <c r="HGU224" s="34"/>
      <c r="HGV224" s="34"/>
      <c r="HGW224" s="34"/>
      <c r="HGX224" s="35"/>
      <c r="HGY224" s="35"/>
      <c r="HGZ224" s="35"/>
      <c r="HHA224" s="35"/>
      <c r="HHB224" s="35"/>
      <c r="HHC224" s="34"/>
      <c r="HHD224" s="34"/>
      <c r="HHE224" s="36"/>
      <c r="HHF224" s="36"/>
      <c r="HHG224" s="37"/>
      <c r="HHH224" s="37"/>
      <c r="HHI224" s="38"/>
      <c r="HHJ224" s="38"/>
      <c r="HHK224" s="39"/>
      <c r="HHL224" s="34"/>
      <c r="HHM224" s="34"/>
      <c r="HHN224" s="34"/>
      <c r="HHO224" s="35"/>
      <c r="HHP224" s="35"/>
      <c r="HHQ224" s="35"/>
      <c r="HHR224" s="35"/>
      <c r="HHS224" s="35"/>
      <c r="HHT224" s="34"/>
      <c r="HHU224" s="34"/>
      <c r="HHV224" s="36"/>
      <c r="HHW224" s="36"/>
      <c r="HHX224" s="37"/>
      <c r="HHY224" s="37"/>
      <c r="HHZ224" s="38"/>
      <c r="HIA224" s="38"/>
      <c r="HIB224" s="39"/>
      <c r="HIC224" s="34"/>
      <c r="HID224" s="34"/>
      <c r="HIE224" s="34"/>
      <c r="HIF224" s="35"/>
      <c r="HIG224" s="35"/>
      <c r="HIH224" s="35"/>
      <c r="HII224" s="35"/>
      <c r="HIJ224" s="35"/>
      <c r="HIK224" s="34"/>
      <c r="HIL224" s="34"/>
      <c r="HIM224" s="36"/>
      <c r="HIN224" s="36"/>
      <c r="HIO224" s="37"/>
      <c r="HIP224" s="37"/>
      <c r="HIQ224" s="38"/>
      <c r="HIR224" s="38"/>
      <c r="HIS224" s="39"/>
      <c r="HIT224" s="34"/>
      <c r="HIU224" s="34"/>
      <c r="HIV224" s="34"/>
      <c r="HIW224" s="35"/>
      <c r="HIX224" s="35"/>
      <c r="HIY224" s="35"/>
      <c r="HIZ224" s="35"/>
      <c r="HJA224" s="35"/>
      <c r="HJB224" s="34"/>
      <c r="HJC224" s="34"/>
      <c r="HJD224" s="36"/>
      <c r="HJE224" s="36"/>
      <c r="HJF224" s="37"/>
      <c r="HJG224" s="37"/>
      <c r="HJH224" s="38"/>
      <c r="HJI224" s="38"/>
      <c r="HJJ224" s="39"/>
      <c r="HJK224" s="34"/>
      <c r="HJL224" s="34"/>
      <c r="HJM224" s="34"/>
      <c r="HJN224" s="35"/>
      <c r="HJO224" s="35"/>
      <c r="HJP224" s="35"/>
      <c r="HJQ224" s="35"/>
      <c r="HJR224" s="35"/>
      <c r="HJS224" s="34"/>
      <c r="HJT224" s="34"/>
      <c r="HJU224" s="36"/>
      <c r="HJV224" s="36"/>
      <c r="HJW224" s="37"/>
      <c r="HJX224" s="37"/>
      <c r="HJY224" s="38"/>
      <c r="HJZ224" s="38"/>
      <c r="HKA224" s="39"/>
      <c r="HKB224" s="34"/>
      <c r="HKC224" s="34"/>
      <c r="HKD224" s="34"/>
      <c r="HKE224" s="35"/>
      <c r="HKF224" s="35"/>
      <c r="HKG224" s="35"/>
      <c r="HKH224" s="35"/>
      <c r="HKI224" s="35"/>
      <c r="HKJ224" s="34"/>
      <c r="HKK224" s="34"/>
      <c r="HKL224" s="36"/>
      <c r="HKM224" s="36"/>
      <c r="HKN224" s="37"/>
      <c r="HKO224" s="37"/>
      <c r="HKP224" s="38"/>
      <c r="HKQ224" s="38"/>
      <c r="HKR224" s="39"/>
      <c r="HKS224" s="34"/>
      <c r="HKT224" s="34"/>
      <c r="HKU224" s="34"/>
      <c r="HKV224" s="35"/>
      <c r="HKW224" s="35"/>
      <c r="HKX224" s="35"/>
      <c r="HKY224" s="35"/>
      <c r="HKZ224" s="35"/>
      <c r="HLA224" s="34"/>
      <c r="HLB224" s="34"/>
      <c r="HLC224" s="36"/>
      <c r="HLD224" s="36"/>
      <c r="HLE224" s="37"/>
      <c r="HLF224" s="37"/>
      <c r="HLG224" s="38"/>
      <c r="HLH224" s="38"/>
      <c r="HLI224" s="39"/>
      <c r="HLJ224" s="34"/>
      <c r="HLK224" s="34"/>
      <c r="HLL224" s="34"/>
      <c r="HLM224" s="35"/>
      <c r="HLN224" s="35"/>
      <c r="HLO224" s="35"/>
      <c r="HLP224" s="35"/>
      <c r="HLQ224" s="35"/>
      <c r="HLR224" s="34"/>
      <c r="HLS224" s="34"/>
      <c r="HLT224" s="36"/>
      <c r="HLU224" s="36"/>
      <c r="HLV224" s="37"/>
      <c r="HLW224" s="37"/>
      <c r="HLX224" s="38"/>
      <c r="HLY224" s="38"/>
      <c r="HLZ224" s="39"/>
      <c r="HMA224" s="34"/>
      <c r="HMB224" s="34"/>
      <c r="HMC224" s="34"/>
      <c r="HMD224" s="35"/>
      <c r="HME224" s="35"/>
      <c r="HMF224" s="35"/>
      <c r="HMG224" s="35"/>
      <c r="HMH224" s="35"/>
      <c r="HMI224" s="34"/>
      <c r="HMJ224" s="34"/>
      <c r="HMK224" s="36"/>
      <c r="HML224" s="36"/>
      <c r="HMM224" s="37"/>
      <c r="HMN224" s="37"/>
      <c r="HMO224" s="38"/>
      <c r="HMP224" s="38"/>
      <c r="HMQ224" s="39"/>
      <c r="HMR224" s="34"/>
      <c r="HMS224" s="34"/>
      <c r="HMT224" s="34"/>
      <c r="HMU224" s="35"/>
      <c r="HMV224" s="35"/>
      <c r="HMW224" s="35"/>
      <c r="HMX224" s="35"/>
      <c r="HMY224" s="35"/>
      <c r="HMZ224" s="34"/>
      <c r="HNA224" s="34"/>
      <c r="HNB224" s="36"/>
      <c r="HNC224" s="36"/>
      <c r="HND224" s="37"/>
      <c r="HNE224" s="37"/>
      <c r="HNF224" s="38"/>
      <c r="HNG224" s="38"/>
      <c r="HNH224" s="39"/>
      <c r="HNI224" s="34"/>
      <c r="HNJ224" s="34"/>
      <c r="HNK224" s="34"/>
      <c r="HNL224" s="35"/>
      <c r="HNM224" s="35"/>
      <c r="HNN224" s="35"/>
      <c r="HNO224" s="35"/>
      <c r="HNP224" s="35"/>
      <c r="HNQ224" s="34"/>
      <c r="HNR224" s="34"/>
      <c r="HNS224" s="36"/>
      <c r="HNT224" s="36"/>
      <c r="HNU224" s="37"/>
      <c r="HNV224" s="37"/>
      <c r="HNW224" s="38"/>
      <c r="HNX224" s="38"/>
      <c r="HNY224" s="39"/>
      <c r="HNZ224" s="34"/>
      <c r="HOA224" s="34"/>
      <c r="HOB224" s="34"/>
      <c r="HOC224" s="35"/>
      <c r="HOD224" s="35"/>
      <c r="HOE224" s="35"/>
      <c r="HOF224" s="35"/>
      <c r="HOG224" s="35"/>
      <c r="HOH224" s="34"/>
      <c r="HOI224" s="34"/>
      <c r="HOJ224" s="36"/>
      <c r="HOK224" s="36"/>
      <c r="HOL224" s="37"/>
      <c r="HOM224" s="37"/>
      <c r="HON224" s="38"/>
      <c r="HOO224" s="38"/>
      <c r="HOP224" s="39"/>
      <c r="HOQ224" s="34"/>
      <c r="HOR224" s="34"/>
      <c r="HOS224" s="34"/>
      <c r="HOT224" s="35"/>
      <c r="HOU224" s="35"/>
      <c r="HOV224" s="35"/>
      <c r="HOW224" s="35"/>
      <c r="HOX224" s="35"/>
      <c r="HOY224" s="34"/>
      <c r="HOZ224" s="34"/>
      <c r="HPA224" s="36"/>
      <c r="HPB224" s="36"/>
      <c r="HPC224" s="37"/>
      <c r="HPD224" s="37"/>
      <c r="HPE224" s="38"/>
      <c r="HPF224" s="38"/>
      <c r="HPG224" s="39"/>
      <c r="HPH224" s="34"/>
      <c r="HPI224" s="34"/>
      <c r="HPJ224" s="34"/>
      <c r="HPK224" s="35"/>
      <c r="HPL224" s="35"/>
      <c r="HPM224" s="35"/>
      <c r="HPN224" s="35"/>
      <c r="HPO224" s="35"/>
      <c r="HPP224" s="34"/>
      <c r="HPQ224" s="34"/>
      <c r="HPR224" s="36"/>
      <c r="HPS224" s="36"/>
      <c r="HPT224" s="37"/>
      <c r="HPU224" s="37"/>
      <c r="HPV224" s="38"/>
      <c r="HPW224" s="38"/>
      <c r="HPX224" s="39"/>
      <c r="HPY224" s="34"/>
      <c r="HPZ224" s="34"/>
      <c r="HQA224" s="34"/>
      <c r="HQB224" s="35"/>
      <c r="HQC224" s="35"/>
      <c r="HQD224" s="35"/>
      <c r="HQE224" s="35"/>
      <c r="HQF224" s="35"/>
      <c r="HQG224" s="34"/>
      <c r="HQH224" s="34"/>
      <c r="HQI224" s="36"/>
      <c r="HQJ224" s="36"/>
      <c r="HQK224" s="37"/>
      <c r="HQL224" s="37"/>
      <c r="HQM224" s="38"/>
      <c r="HQN224" s="38"/>
      <c r="HQO224" s="39"/>
      <c r="HQP224" s="34"/>
      <c r="HQQ224" s="34"/>
      <c r="HQR224" s="34"/>
      <c r="HQS224" s="35"/>
      <c r="HQT224" s="35"/>
      <c r="HQU224" s="35"/>
      <c r="HQV224" s="35"/>
      <c r="HQW224" s="35"/>
      <c r="HQX224" s="34"/>
      <c r="HQY224" s="34"/>
      <c r="HQZ224" s="36"/>
      <c r="HRA224" s="36"/>
      <c r="HRB224" s="37"/>
      <c r="HRC224" s="37"/>
      <c r="HRD224" s="38"/>
      <c r="HRE224" s="38"/>
      <c r="HRF224" s="39"/>
      <c r="HRG224" s="34"/>
      <c r="HRH224" s="34"/>
      <c r="HRI224" s="34"/>
      <c r="HRJ224" s="35"/>
      <c r="HRK224" s="35"/>
      <c r="HRL224" s="35"/>
      <c r="HRM224" s="35"/>
      <c r="HRN224" s="35"/>
      <c r="HRO224" s="34"/>
      <c r="HRP224" s="34"/>
      <c r="HRQ224" s="36"/>
      <c r="HRR224" s="36"/>
      <c r="HRS224" s="37"/>
      <c r="HRT224" s="37"/>
      <c r="HRU224" s="38"/>
      <c r="HRV224" s="38"/>
      <c r="HRW224" s="39"/>
      <c r="HRX224" s="34"/>
      <c r="HRY224" s="34"/>
      <c r="HRZ224" s="34"/>
      <c r="HSA224" s="35"/>
      <c r="HSB224" s="35"/>
      <c r="HSC224" s="35"/>
      <c r="HSD224" s="35"/>
      <c r="HSE224" s="35"/>
      <c r="HSF224" s="34"/>
      <c r="HSG224" s="34"/>
      <c r="HSH224" s="36"/>
      <c r="HSI224" s="36"/>
      <c r="HSJ224" s="37"/>
      <c r="HSK224" s="37"/>
      <c r="HSL224" s="38"/>
      <c r="HSM224" s="38"/>
      <c r="HSN224" s="39"/>
      <c r="HSO224" s="34"/>
      <c r="HSP224" s="34"/>
      <c r="HSQ224" s="34"/>
      <c r="HSR224" s="35"/>
      <c r="HSS224" s="35"/>
      <c r="HST224" s="35"/>
      <c r="HSU224" s="35"/>
      <c r="HSV224" s="35"/>
      <c r="HSW224" s="34"/>
      <c r="HSX224" s="34"/>
      <c r="HSY224" s="36"/>
      <c r="HSZ224" s="36"/>
      <c r="HTA224" s="37"/>
      <c r="HTB224" s="37"/>
      <c r="HTC224" s="38"/>
      <c r="HTD224" s="38"/>
      <c r="HTE224" s="39"/>
      <c r="HTF224" s="34"/>
      <c r="HTG224" s="34"/>
      <c r="HTH224" s="34"/>
      <c r="HTI224" s="35"/>
      <c r="HTJ224" s="35"/>
      <c r="HTK224" s="35"/>
      <c r="HTL224" s="35"/>
      <c r="HTM224" s="35"/>
      <c r="HTN224" s="34"/>
      <c r="HTO224" s="34"/>
      <c r="HTP224" s="36"/>
      <c r="HTQ224" s="36"/>
      <c r="HTR224" s="37"/>
      <c r="HTS224" s="37"/>
      <c r="HTT224" s="38"/>
      <c r="HTU224" s="38"/>
      <c r="HTV224" s="39"/>
      <c r="HTW224" s="34"/>
      <c r="HTX224" s="34"/>
      <c r="HTY224" s="34"/>
      <c r="HTZ224" s="35"/>
      <c r="HUA224" s="35"/>
      <c r="HUB224" s="35"/>
      <c r="HUC224" s="35"/>
      <c r="HUD224" s="35"/>
      <c r="HUE224" s="34"/>
      <c r="HUF224" s="34"/>
      <c r="HUG224" s="36"/>
      <c r="HUH224" s="36"/>
      <c r="HUI224" s="37"/>
      <c r="HUJ224" s="37"/>
      <c r="HUK224" s="38"/>
      <c r="HUL224" s="38"/>
      <c r="HUM224" s="39"/>
      <c r="HUN224" s="34"/>
      <c r="HUO224" s="34"/>
      <c r="HUP224" s="34"/>
      <c r="HUQ224" s="35"/>
      <c r="HUR224" s="35"/>
      <c r="HUS224" s="35"/>
      <c r="HUT224" s="35"/>
      <c r="HUU224" s="35"/>
      <c r="HUV224" s="34"/>
      <c r="HUW224" s="34"/>
      <c r="HUX224" s="36"/>
      <c r="HUY224" s="36"/>
      <c r="HUZ224" s="37"/>
      <c r="HVA224" s="37"/>
      <c r="HVB224" s="38"/>
      <c r="HVC224" s="38"/>
      <c r="HVD224" s="39"/>
      <c r="HVE224" s="34"/>
      <c r="HVF224" s="34"/>
      <c r="HVG224" s="34"/>
      <c r="HVH224" s="35"/>
      <c r="HVI224" s="35"/>
      <c r="HVJ224" s="35"/>
      <c r="HVK224" s="35"/>
      <c r="HVL224" s="35"/>
      <c r="HVM224" s="34"/>
      <c r="HVN224" s="34"/>
      <c r="HVO224" s="36"/>
      <c r="HVP224" s="36"/>
      <c r="HVQ224" s="37"/>
      <c r="HVR224" s="37"/>
      <c r="HVS224" s="38"/>
      <c r="HVT224" s="38"/>
      <c r="HVU224" s="39"/>
      <c r="HVV224" s="34"/>
      <c r="HVW224" s="34"/>
      <c r="HVX224" s="34"/>
      <c r="HVY224" s="35"/>
      <c r="HVZ224" s="35"/>
      <c r="HWA224" s="35"/>
      <c r="HWB224" s="35"/>
      <c r="HWC224" s="35"/>
      <c r="HWD224" s="34"/>
      <c r="HWE224" s="34"/>
      <c r="HWF224" s="36"/>
      <c r="HWG224" s="36"/>
      <c r="HWH224" s="37"/>
      <c r="HWI224" s="37"/>
      <c r="HWJ224" s="38"/>
      <c r="HWK224" s="38"/>
      <c r="HWL224" s="39"/>
      <c r="HWM224" s="34"/>
      <c r="HWN224" s="34"/>
      <c r="HWO224" s="34"/>
      <c r="HWP224" s="35"/>
      <c r="HWQ224" s="35"/>
      <c r="HWR224" s="35"/>
      <c r="HWS224" s="35"/>
      <c r="HWT224" s="35"/>
      <c r="HWU224" s="34"/>
      <c r="HWV224" s="34"/>
      <c r="HWW224" s="36"/>
      <c r="HWX224" s="36"/>
      <c r="HWY224" s="37"/>
      <c r="HWZ224" s="37"/>
      <c r="HXA224" s="38"/>
      <c r="HXB224" s="38"/>
      <c r="HXC224" s="39"/>
      <c r="HXD224" s="34"/>
      <c r="HXE224" s="34"/>
      <c r="HXF224" s="34"/>
      <c r="HXG224" s="35"/>
      <c r="HXH224" s="35"/>
      <c r="HXI224" s="35"/>
      <c r="HXJ224" s="35"/>
      <c r="HXK224" s="35"/>
      <c r="HXL224" s="34"/>
      <c r="HXM224" s="34"/>
      <c r="HXN224" s="36"/>
      <c r="HXO224" s="36"/>
      <c r="HXP224" s="37"/>
      <c r="HXQ224" s="37"/>
      <c r="HXR224" s="38"/>
      <c r="HXS224" s="38"/>
      <c r="HXT224" s="39"/>
      <c r="HXU224" s="34"/>
      <c r="HXV224" s="34"/>
      <c r="HXW224" s="34"/>
      <c r="HXX224" s="35"/>
      <c r="HXY224" s="35"/>
      <c r="HXZ224" s="35"/>
      <c r="HYA224" s="35"/>
      <c r="HYB224" s="35"/>
      <c r="HYC224" s="34"/>
      <c r="HYD224" s="34"/>
      <c r="HYE224" s="36"/>
      <c r="HYF224" s="36"/>
      <c r="HYG224" s="37"/>
      <c r="HYH224" s="37"/>
      <c r="HYI224" s="38"/>
      <c r="HYJ224" s="38"/>
      <c r="HYK224" s="39"/>
      <c r="HYL224" s="34"/>
      <c r="HYM224" s="34"/>
      <c r="HYN224" s="34"/>
      <c r="HYO224" s="35"/>
      <c r="HYP224" s="35"/>
      <c r="HYQ224" s="35"/>
      <c r="HYR224" s="35"/>
      <c r="HYS224" s="35"/>
      <c r="HYT224" s="34"/>
      <c r="HYU224" s="34"/>
      <c r="HYV224" s="36"/>
      <c r="HYW224" s="36"/>
      <c r="HYX224" s="37"/>
      <c r="HYY224" s="37"/>
      <c r="HYZ224" s="38"/>
      <c r="HZA224" s="38"/>
      <c r="HZB224" s="39"/>
      <c r="HZC224" s="34"/>
      <c r="HZD224" s="34"/>
      <c r="HZE224" s="34"/>
      <c r="HZF224" s="35"/>
      <c r="HZG224" s="35"/>
      <c r="HZH224" s="35"/>
      <c r="HZI224" s="35"/>
      <c r="HZJ224" s="35"/>
      <c r="HZK224" s="34"/>
      <c r="HZL224" s="34"/>
      <c r="HZM224" s="36"/>
      <c r="HZN224" s="36"/>
      <c r="HZO224" s="37"/>
      <c r="HZP224" s="37"/>
      <c r="HZQ224" s="38"/>
      <c r="HZR224" s="38"/>
      <c r="HZS224" s="39"/>
      <c r="HZT224" s="34"/>
      <c r="HZU224" s="34"/>
      <c r="HZV224" s="34"/>
      <c r="HZW224" s="35"/>
      <c r="HZX224" s="35"/>
      <c r="HZY224" s="35"/>
      <c r="HZZ224" s="35"/>
      <c r="IAA224" s="35"/>
      <c r="IAB224" s="34"/>
      <c r="IAC224" s="34"/>
      <c r="IAD224" s="36"/>
      <c r="IAE224" s="36"/>
      <c r="IAF224" s="37"/>
      <c r="IAG224" s="37"/>
      <c r="IAH224" s="38"/>
      <c r="IAI224" s="38"/>
      <c r="IAJ224" s="39"/>
      <c r="IAK224" s="34"/>
      <c r="IAL224" s="34"/>
      <c r="IAM224" s="34"/>
      <c r="IAN224" s="35"/>
      <c r="IAO224" s="35"/>
      <c r="IAP224" s="35"/>
      <c r="IAQ224" s="35"/>
      <c r="IAR224" s="35"/>
      <c r="IAS224" s="34"/>
      <c r="IAT224" s="34"/>
      <c r="IAU224" s="36"/>
      <c r="IAV224" s="36"/>
      <c r="IAW224" s="37"/>
      <c r="IAX224" s="37"/>
      <c r="IAY224" s="38"/>
      <c r="IAZ224" s="38"/>
      <c r="IBA224" s="39"/>
      <c r="IBB224" s="34"/>
      <c r="IBC224" s="34"/>
      <c r="IBD224" s="34"/>
      <c r="IBE224" s="35"/>
      <c r="IBF224" s="35"/>
      <c r="IBG224" s="35"/>
      <c r="IBH224" s="35"/>
      <c r="IBI224" s="35"/>
      <c r="IBJ224" s="34"/>
      <c r="IBK224" s="34"/>
      <c r="IBL224" s="36"/>
      <c r="IBM224" s="36"/>
      <c r="IBN224" s="37"/>
      <c r="IBO224" s="37"/>
      <c r="IBP224" s="38"/>
      <c r="IBQ224" s="38"/>
      <c r="IBR224" s="39"/>
      <c r="IBS224" s="34"/>
      <c r="IBT224" s="34"/>
      <c r="IBU224" s="34"/>
      <c r="IBV224" s="35"/>
      <c r="IBW224" s="35"/>
      <c r="IBX224" s="35"/>
      <c r="IBY224" s="35"/>
      <c r="IBZ224" s="35"/>
      <c r="ICA224" s="34"/>
      <c r="ICB224" s="34"/>
      <c r="ICC224" s="36"/>
      <c r="ICD224" s="36"/>
      <c r="ICE224" s="37"/>
      <c r="ICF224" s="37"/>
      <c r="ICG224" s="38"/>
      <c r="ICH224" s="38"/>
      <c r="ICI224" s="39"/>
      <c r="ICJ224" s="34"/>
      <c r="ICK224" s="34"/>
      <c r="ICL224" s="34"/>
      <c r="ICM224" s="35"/>
      <c r="ICN224" s="35"/>
      <c r="ICO224" s="35"/>
      <c r="ICP224" s="35"/>
      <c r="ICQ224" s="35"/>
      <c r="ICR224" s="34"/>
      <c r="ICS224" s="34"/>
      <c r="ICT224" s="36"/>
      <c r="ICU224" s="36"/>
      <c r="ICV224" s="37"/>
      <c r="ICW224" s="37"/>
      <c r="ICX224" s="38"/>
      <c r="ICY224" s="38"/>
      <c r="ICZ224" s="39"/>
      <c r="IDA224" s="34"/>
      <c r="IDB224" s="34"/>
      <c r="IDC224" s="34"/>
      <c r="IDD224" s="35"/>
      <c r="IDE224" s="35"/>
      <c r="IDF224" s="35"/>
      <c r="IDG224" s="35"/>
      <c r="IDH224" s="35"/>
      <c r="IDI224" s="34"/>
      <c r="IDJ224" s="34"/>
      <c r="IDK224" s="36"/>
      <c r="IDL224" s="36"/>
      <c r="IDM224" s="37"/>
      <c r="IDN224" s="37"/>
      <c r="IDO224" s="38"/>
      <c r="IDP224" s="38"/>
      <c r="IDQ224" s="39"/>
      <c r="IDR224" s="34"/>
      <c r="IDS224" s="34"/>
      <c r="IDT224" s="34"/>
      <c r="IDU224" s="35"/>
      <c r="IDV224" s="35"/>
      <c r="IDW224" s="35"/>
      <c r="IDX224" s="35"/>
      <c r="IDY224" s="35"/>
      <c r="IDZ224" s="34"/>
      <c r="IEA224" s="34"/>
      <c r="IEB224" s="36"/>
      <c r="IEC224" s="36"/>
      <c r="IED224" s="37"/>
      <c r="IEE224" s="37"/>
      <c r="IEF224" s="38"/>
      <c r="IEG224" s="38"/>
      <c r="IEH224" s="39"/>
      <c r="IEI224" s="34"/>
      <c r="IEJ224" s="34"/>
      <c r="IEK224" s="34"/>
      <c r="IEL224" s="35"/>
      <c r="IEM224" s="35"/>
      <c r="IEN224" s="35"/>
      <c r="IEO224" s="35"/>
      <c r="IEP224" s="35"/>
      <c r="IEQ224" s="34"/>
      <c r="IER224" s="34"/>
      <c r="IES224" s="36"/>
      <c r="IET224" s="36"/>
      <c r="IEU224" s="37"/>
      <c r="IEV224" s="37"/>
      <c r="IEW224" s="38"/>
      <c r="IEX224" s="38"/>
      <c r="IEY224" s="39"/>
      <c r="IEZ224" s="34"/>
      <c r="IFA224" s="34"/>
      <c r="IFB224" s="34"/>
      <c r="IFC224" s="35"/>
      <c r="IFD224" s="35"/>
      <c r="IFE224" s="35"/>
      <c r="IFF224" s="35"/>
      <c r="IFG224" s="35"/>
      <c r="IFH224" s="34"/>
      <c r="IFI224" s="34"/>
      <c r="IFJ224" s="36"/>
      <c r="IFK224" s="36"/>
      <c r="IFL224" s="37"/>
      <c r="IFM224" s="37"/>
      <c r="IFN224" s="38"/>
      <c r="IFO224" s="38"/>
      <c r="IFP224" s="39"/>
      <c r="IFQ224" s="34"/>
      <c r="IFR224" s="34"/>
      <c r="IFS224" s="34"/>
      <c r="IFT224" s="35"/>
      <c r="IFU224" s="35"/>
      <c r="IFV224" s="35"/>
      <c r="IFW224" s="35"/>
      <c r="IFX224" s="35"/>
      <c r="IFY224" s="34"/>
      <c r="IFZ224" s="34"/>
      <c r="IGA224" s="36"/>
      <c r="IGB224" s="36"/>
      <c r="IGC224" s="37"/>
      <c r="IGD224" s="37"/>
      <c r="IGE224" s="38"/>
      <c r="IGF224" s="38"/>
      <c r="IGG224" s="39"/>
      <c r="IGH224" s="34"/>
      <c r="IGI224" s="34"/>
      <c r="IGJ224" s="34"/>
      <c r="IGK224" s="35"/>
      <c r="IGL224" s="35"/>
      <c r="IGM224" s="35"/>
      <c r="IGN224" s="35"/>
      <c r="IGO224" s="35"/>
      <c r="IGP224" s="34"/>
      <c r="IGQ224" s="34"/>
      <c r="IGR224" s="36"/>
      <c r="IGS224" s="36"/>
      <c r="IGT224" s="37"/>
      <c r="IGU224" s="37"/>
      <c r="IGV224" s="38"/>
      <c r="IGW224" s="38"/>
      <c r="IGX224" s="39"/>
      <c r="IGY224" s="34"/>
      <c r="IGZ224" s="34"/>
      <c r="IHA224" s="34"/>
      <c r="IHB224" s="35"/>
      <c r="IHC224" s="35"/>
      <c r="IHD224" s="35"/>
      <c r="IHE224" s="35"/>
      <c r="IHF224" s="35"/>
      <c r="IHG224" s="34"/>
      <c r="IHH224" s="34"/>
      <c r="IHI224" s="36"/>
      <c r="IHJ224" s="36"/>
      <c r="IHK224" s="37"/>
      <c r="IHL224" s="37"/>
      <c r="IHM224" s="38"/>
      <c r="IHN224" s="38"/>
      <c r="IHO224" s="39"/>
      <c r="IHP224" s="34"/>
      <c r="IHQ224" s="34"/>
      <c r="IHR224" s="34"/>
      <c r="IHS224" s="35"/>
      <c r="IHT224" s="35"/>
      <c r="IHU224" s="35"/>
      <c r="IHV224" s="35"/>
      <c r="IHW224" s="35"/>
      <c r="IHX224" s="34"/>
      <c r="IHY224" s="34"/>
      <c r="IHZ224" s="36"/>
      <c r="IIA224" s="36"/>
      <c r="IIB224" s="37"/>
      <c r="IIC224" s="37"/>
      <c r="IID224" s="38"/>
      <c r="IIE224" s="38"/>
      <c r="IIF224" s="39"/>
      <c r="IIG224" s="34"/>
      <c r="IIH224" s="34"/>
      <c r="III224" s="34"/>
      <c r="IIJ224" s="35"/>
      <c r="IIK224" s="35"/>
      <c r="IIL224" s="35"/>
      <c r="IIM224" s="35"/>
      <c r="IIN224" s="35"/>
      <c r="IIO224" s="34"/>
      <c r="IIP224" s="34"/>
      <c r="IIQ224" s="36"/>
      <c r="IIR224" s="36"/>
      <c r="IIS224" s="37"/>
      <c r="IIT224" s="37"/>
      <c r="IIU224" s="38"/>
      <c r="IIV224" s="38"/>
      <c r="IIW224" s="39"/>
      <c r="IIX224" s="34"/>
      <c r="IIY224" s="34"/>
      <c r="IIZ224" s="34"/>
      <c r="IJA224" s="35"/>
      <c r="IJB224" s="35"/>
      <c r="IJC224" s="35"/>
      <c r="IJD224" s="35"/>
      <c r="IJE224" s="35"/>
      <c r="IJF224" s="34"/>
      <c r="IJG224" s="34"/>
      <c r="IJH224" s="36"/>
      <c r="IJI224" s="36"/>
      <c r="IJJ224" s="37"/>
      <c r="IJK224" s="37"/>
      <c r="IJL224" s="38"/>
      <c r="IJM224" s="38"/>
      <c r="IJN224" s="39"/>
      <c r="IJO224" s="34"/>
      <c r="IJP224" s="34"/>
      <c r="IJQ224" s="34"/>
      <c r="IJR224" s="35"/>
      <c r="IJS224" s="35"/>
      <c r="IJT224" s="35"/>
      <c r="IJU224" s="35"/>
      <c r="IJV224" s="35"/>
      <c r="IJW224" s="34"/>
      <c r="IJX224" s="34"/>
      <c r="IJY224" s="36"/>
      <c r="IJZ224" s="36"/>
      <c r="IKA224" s="37"/>
      <c r="IKB224" s="37"/>
      <c r="IKC224" s="38"/>
      <c r="IKD224" s="38"/>
      <c r="IKE224" s="39"/>
      <c r="IKF224" s="34"/>
      <c r="IKG224" s="34"/>
      <c r="IKH224" s="34"/>
      <c r="IKI224" s="35"/>
      <c r="IKJ224" s="35"/>
      <c r="IKK224" s="35"/>
      <c r="IKL224" s="35"/>
      <c r="IKM224" s="35"/>
      <c r="IKN224" s="34"/>
      <c r="IKO224" s="34"/>
      <c r="IKP224" s="36"/>
      <c r="IKQ224" s="36"/>
      <c r="IKR224" s="37"/>
      <c r="IKS224" s="37"/>
      <c r="IKT224" s="38"/>
      <c r="IKU224" s="38"/>
      <c r="IKV224" s="39"/>
      <c r="IKW224" s="34"/>
      <c r="IKX224" s="34"/>
      <c r="IKY224" s="34"/>
      <c r="IKZ224" s="35"/>
      <c r="ILA224" s="35"/>
      <c r="ILB224" s="35"/>
      <c r="ILC224" s="35"/>
      <c r="ILD224" s="35"/>
      <c r="ILE224" s="34"/>
      <c r="ILF224" s="34"/>
      <c r="ILG224" s="36"/>
      <c r="ILH224" s="36"/>
      <c r="ILI224" s="37"/>
      <c r="ILJ224" s="37"/>
      <c r="ILK224" s="38"/>
      <c r="ILL224" s="38"/>
      <c r="ILM224" s="39"/>
      <c r="ILN224" s="34"/>
      <c r="ILO224" s="34"/>
      <c r="ILP224" s="34"/>
      <c r="ILQ224" s="35"/>
      <c r="ILR224" s="35"/>
      <c r="ILS224" s="35"/>
      <c r="ILT224" s="35"/>
      <c r="ILU224" s="35"/>
      <c r="ILV224" s="34"/>
      <c r="ILW224" s="34"/>
      <c r="ILX224" s="36"/>
      <c r="ILY224" s="36"/>
      <c r="ILZ224" s="37"/>
      <c r="IMA224" s="37"/>
      <c r="IMB224" s="38"/>
      <c r="IMC224" s="38"/>
      <c r="IMD224" s="39"/>
      <c r="IME224" s="34"/>
      <c r="IMF224" s="34"/>
      <c r="IMG224" s="34"/>
      <c r="IMH224" s="35"/>
      <c r="IMI224" s="35"/>
      <c r="IMJ224" s="35"/>
      <c r="IMK224" s="35"/>
      <c r="IML224" s="35"/>
      <c r="IMM224" s="34"/>
      <c r="IMN224" s="34"/>
      <c r="IMO224" s="36"/>
      <c r="IMP224" s="36"/>
      <c r="IMQ224" s="37"/>
      <c r="IMR224" s="37"/>
      <c r="IMS224" s="38"/>
      <c r="IMT224" s="38"/>
      <c r="IMU224" s="39"/>
      <c r="IMV224" s="34"/>
      <c r="IMW224" s="34"/>
      <c r="IMX224" s="34"/>
      <c r="IMY224" s="35"/>
      <c r="IMZ224" s="35"/>
      <c r="INA224" s="35"/>
      <c r="INB224" s="35"/>
      <c r="INC224" s="35"/>
      <c r="IND224" s="34"/>
      <c r="INE224" s="34"/>
      <c r="INF224" s="36"/>
      <c r="ING224" s="36"/>
      <c r="INH224" s="37"/>
      <c r="INI224" s="37"/>
      <c r="INJ224" s="38"/>
      <c r="INK224" s="38"/>
      <c r="INL224" s="39"/>
      <c r="INM224" s="34"/>
      <c r="INN224" s="34"/>
      <c r="INO224" s="34"/>
      <c r="INP224" s="35"/>
      <c r="INQ224" s="35"/>
      <c r="INR224" s="35"/>
      <c r="INS224" s="35"/>
      <c r="INT224" s="35"/>
      <c r="INU224" s="34"/>
      <c r="INV224" s="34"/>
      <c r="INW224" s="36"/>
      <c r="INX224" s="36"/>
      <c r="INY224" s="37"/>
      <c r="INZ224" s="37"/>
      <c r="IOA224" s="38"/>
      <c r="IOB224" s="38"/>
      <c r="IOC224" s="39"/>
      <c r="IOD224" s="34"/>
      <c r="IOE224" s="34"/>
      <c r="IOF224" s="34"/>
      <c r="IOG224" s="35"/>
      <c r="IOH224" s="35"/>
      <c r="IOI224" s="35"/>
      <c r="IOJ224" s="35"/>
      <c r="IOK224" s="35"/>
      <c r="IOL224" s="34"/>
      <c r="IOM224" s="34"/>
      <c r="ION224" s="36"/>
      <c r="IOO224" s="36"/>
      <c r="IOP224" s="37"/>
      <c r="IOQ224" s="37"/>
      <c r="IOR224" s="38"/>
      <c r="IOS224" s="38"/>
      <c r="IOT224" s="39"/>
      <c r="IOU224" s="34"/>
      <c r="IOV224" s="34"/>
      <c r="IOW224" s="34"/>
      <c r="IOX224" s="35"/>
      <c r="IOY224" s="35"/>
      <c r="IOZ224" s="35"/>
      <c r="IPA224" s="35"/>
      <c r="IPB224" s="35"/>
      <c r="IPC224" s="34"/>
      <c r="IPD224" s="34"/>
      <c r="IPE224" s="36"/>
      <c r="IPF224" s="36"/>
      <c r="IPG224" s="37"/>
      <c r="IPH224" s="37"/>
      <c r="IPI224" s="38"/>
      <c r="IPJ224" s="38"/>
      <c r="IPK224" s="39"/>
      <c r="IPL224" s="34"/>
      <c r="IPM224" s="34"/>
      <c r="IPN224" s="34"/>
      <c r="IPO224" s="35"/>
      <c r="IPP224" s="35"/>
      <c r="IPQ224" s="35"/>
      <c r="IPR224" s="35"/>
      <c r="IPS224" s="35"/>
      <c r="IPT224" s="34"/>
      <c r="IPU224" s="34"/>
      <c r="IPV224" s="36"/>
      <c r="IPW224" s="36"/>
      <c r="IPX224" s="37"/>
      <c r="IPY224" s="37"/>
      <c r="IPZ224" s="38"/>
      <c r="IQA224" s="38"/>
      <c r="IQB224" s="39"/>
      <c r="IQC224" s="34"/>
      <c r="IQD224" s="34"/>
      <c r="IQE224" s="34"/>
      <c r="IQF224" s="35"/>
      <c r="IQG224" s="35"/>
      <c r="IQH224" s="35"/>
      <c r="IQI224" s="35"/>
      <c r="IQJ224" s="35"/>
      <c r="IQK224" s="34"/>
      <c r="IQL224" s="34"/>
      <c r="IQM224" s="36"/>
      <c r="IQN224" s="36"/>
      <c r="IQO224" s="37"/>
      <c r="IQP224" s="37"/>
      <c r="IQQ224" s="38"/>
      <c r="IQR224" s="38"/>
      <c r="IQS224" s="39"/>
      <c r="IQT224" s="34"/>
      <c r="IQU224" s="34"/>
      <c r="IQV224" s="34"/>
      <c r="IQW224" s="35"/>
      <c r="IQX224" s="35"/>
      <c r="IQY224" s="35"/>
      <c r="IQZ224" s="35"/>
      <c r="IRA224" s="35"/>
      <c r="IRB224" s="34"/>
      <c r="IRC224" s="34"/>
      <c r="IRD224" s="36"/>
      <c r="IRE224" s="36"/>
      <c r="IRF224" s="37"/>
      <c r="IRG224" s="37"/>
      <c r="IRH224" s="38"/>
      <c r="IRI224" s="38"/>
      <c r="IRJ224" s="39"/>
      <c r="IRK224" s="34"/>
      <c r="IRL224" s="34"/>
      <c r="IRM224" s="34"/>
      <c r="IRN224" s="35"/>
      <c r="IRO224" s="35"/>
      <c r="IRP224" s="35"/>
      <c r="IRQ224" s="35"/>
      <c r="IRR224" s="35"/>
      <c r="IRS224" s="34"/>
      <c r="IRT224" s="34"/>
      <c r="IRU224" s="36"/>
      <c r="IRV224" s="36"/>
      <c r="IRW224" s="37"/>
      <c r="IRX224" s="37"/>
      <c r="IRY224" s="38"/>
      <c r="IRZ224" s="38"/>
      <c r="ISA224" s="39"/>
      <c r="ISB224" s="34"/>
      <c r="ISC224" s="34"/>
      <c r="ISD224" s="34"/>
      <c r="ISE224" s="35"/>
      <c r="ISF224" s="35"/>
      <c r="ISG224" s="35"/>
      <c r="ISH224" s="35"/>
      <c r="ISI224" s="35"/>
      <c r="ISJ224" s="34"/>
      <c r="ISK224" s="34"/>
      <c r="ISL224" s="36"/>
      <c r="ISM224" s="36"/>
      <c r="ISN224" s="37"/>
      <c r="ISO224" s="37"/>
      <c r="ISP224" s="38"/>
      <c r="ISQ224" s="38"/>
      <c r="ISR224" s="39"/>
      <c r="ISS224" s="34"/>
      <c r="IST224" s="34"/>
      <c r="ISU224" s="34"/>
      <c r="ISV224" s="35"/>
      <c r="ISW224" s="35"/>
      <c r="ISX224" s="35"/>
      <c r="ISY224" s="35"/>
      <c r="ISZ224" s="35"/>
      <c r="ITA224" s="34"/>
      <c r="ITB224" s="34"/>
      <c r="ITC224" s="36"/>
      <c r="ITD224" s="36"/>
      <c r="ITE224" s="37"/>
      <c r="ITF224" s="37"/>
      <c r="ITG224" s="38"/>
      <c r="ITH224" s="38"/>
      <c r="ITI224" s="39"/>
      <c r="ITJ224" s="34"/>
      <c r="ITK224" s="34"/>
      <c r="ITL224" s="34"/>
      <c r="ITM224" s="35"/>
      <c r="ITN224" s="35"/>
      <c r="ITO224" s="35"/>
      <c r="ITP224" s="35"/>
      <c r="ITQ224" s="35"/>
      <c r="ITR224" s="34"/>
      <c r="ITS224" s="34"/>
      <c r="ITT224" s="36"/>
      <c r="ITU224" s="36"/>
      <c r="ITV224" s="37"/>
      <c r="ITW224" s="37"/>
      <c r="ITX224" s="38"/>
      <c r="ITY224" s="38"/>
      <c r="ITZ224" s="39"/>
      <c r="IUA224" s="34"/>
      <c r="IUB224" s="34"/>
      <c r="IUC224" s="34"/>
      <c r="IUD224" s="35"/>
      <c r="IUE224" s="35"/>
      <c r="IUF224" s="35"/>
      <c r="IUG224" s="35"/>
      <c r="IUH224" s="35"/>
      <c r="IUI224" s="34"/>
      <c r="IUJ224" s="34"/>
      <c r="IUK224" s="36"/>
      <c r="IUL224" s="36"/>
      <c r="IUM224" s="37"/>
      <c r="IUN224" s="37"/>
      <c r="IUO224" s="38"/>
      <c r="IUP224" s="38"/>
      <c r="IUQ224" s="39"/>
      <c r="IUR224" s="34"/>
      <c r="IUS224" s="34"/>
      <c r="IUT224" s="34"/>
      <c r="IUU224" s="35"/>
      <c r="IUV224" s="35"/>
      <c r="IUW224" s="35"/>
      <c r="IUX224" s="35"/>
      <c r="IUY224" s="35"/>
      <c r="IUZ224" s="34"/>
      <c r="IVA224" s="34"/>
      <c r="IVB224" s="36"/>
      <c r="IVC224" s="36"/>
      <c r="IVD224" s="37"/>
      <c r="IVE224" s="37"/>
      <c r="IVF224" s="38"/>
      <c r="IVG224" s="38"/>
      <c r="IVH224" s="39"/>
      <c r="IVI224" s="34"/>
      <c r="IVJ224" s="34"/>
      <c r="IVK224" s="34"/>
      <c r="IVL224" s="35"/>
      <c r="IVM224" s="35"/>
      <c r="IVN224" s="35"/>
      <c r="IVO224" s="35"/>
      <c r="IVP224" s="35"/>
      <c r="IVQ224" s="34"/>
      <c r="IVR224" s="34"/>
      <c r="IVS224" s="36"/>
      <c r="IVT224" s="36"/>
      <c r="IVU224" s="37"/>
      <c r="IVV224" s="37"/>
      <c r="IVW224" s="38"/>
      <c r="IVX224" s="38"/>
      <c r="IVY224" s="39"/>
      <c r="IVZ224" s="34"/>
      <c r="IWA224" s="34"/>
      <c r="IWB224" s="34"/>
      <c r="IWC224" s="35"/>
      <c r="IWD224" s="35"/>
      <c r="IWE224" s="35"/>
      <c r="IWF224" s="35"/>
      <c r="IWG224" s="35"/>
      <c r="IWH224" s="34"/>
      <c r="IWI224" s="34"/>
      <c r="IWJ224" s="36"/>
      <c r="IWK224" s="36"/>
      <c r="IWL224" s="37"/>
      <c r="IWM224" s="37"/>
      <c r="IWN224" s="38"/>
      <c r="IWO224" s="38"/>
      <c r="IWP224" s="39"/>
      <c r="IWQ224" s="34"/>
      <c r="IWR224" s="34"/>
      <c r="IWS224" s="34"/>
      <c r="IWT224" s="35"/>
      <c r="IWU224" s="35"/>
      <c r="IWV224" s="35"/>
      <c r="IWW224" s="35"/>
      <c r="IWX224" s="35"/>
      <c r="IWY224" s="34"/>
      <c r="IWZ224" s="34"/>
      <c r="IXA224" s="36"/>
      <c r="IXB224" s="36"/>
      <c r="IXC224" s="37"/>
      <c r="IXD224" s="37"/>
      <c r="IXE224" s="38"/>
      <c r="IXF224" s="38"/>
      <c r="IXG224" s="39"/>
      <c r="IXH224" s="34"/>
      <c r="IXI224" s="34"/>
      <c r="IXJ224" s="34"/>
      <c r="IXK224" s="35"/>
      <c r="IXL224" s="35"/>
      <c r="IXM224" s="35"/>
      <c r="IXN224" s="35"/>
      <c r="IXO224" s="35"/>
      <c r="IXP224" s="34"/>
      <c r="IXQ224" s="34"/>
      <c r="IXR224" s="36"/>
      <c r="IXS224" s="36"/>
      <c r="IXT224" s="37"/>
      <c r="IXU224" s="37"/>
      <c r="IXV224" s="38"/>
      <c r="IXW224" s="38"/>
      <c r="IXX224" s="39"/>
      <c r="IXY224" s="34"/>
      <c r="IXZ224" s="34"/>
      <c r="IYA224" s="34"/>
      <c r="IYB224" s="35"/>
      <c r="IYC224" s="35"/>
      <c r="IYD224" s="35"/>
      <c r="IYE224" s="35"/>
      <c r="IYF224" s="35"/>
      <c r="IYG224" s="34"/>
      <c r="IYH224" s="34"/>
      <c r="IYI224" s="36"/>
      <c r="IYJ224" s="36"/>
      <c r="IYK224" s="37"/>
      <c r="IYL224" s="37"/>
      <c r="IYM224" s="38"/>
      <c r="IYN224" s="38"/>
      <c r="IYO224" s="39"/>
      <c r="IYP224" s="34"/>
      <c r="IYQ224" s="34"/>
      <c r="IYR224" s="34"/>
      <c r="IYS224" s="35"/>
      <c r="IYT224" s="35"/>
      <c r="IYU224" s="35"/>
      <c r="IYV224" s="35"/>
      <c r="IYW224" s="35"/>
      <c r="IYX224" s="34"/>
      <c r="IYY224" s="34"/>
      <c r="IYZ224" s="36"/>
      <c r="IZA224" s="36"/>
      <c r="IZB224" s="37"/>
      <c r="IZC224" s="37"/>
      <c r="IZD224" s="38"/>
      <c r="IZE224" s="38"/>
      <c r="IZF224" s="39"/>
      <c r="IZG224" s="34"/>
      <c r="IZH224" s="34"/>
      <c r="IZI224" s="34"/>
      <c r="IZJ224" s="35"/>
      <c r="IZK224" s="35"/>
      <c r="IZL224" s="35"/>
      <c r="IZM224" s="35"/>
      <c r="IZN224" s="35"/>
      <c r="IZO224" s="34"/>
      <c r="IZP224" s="34"/>
      <c r="IZQ224" s="36"/>
      <c r="IZR224" s="36"/>
      <c r="IZS224" s="37"/>
      <c r="IZT224" s="37"/>
      <c r="IZU224" s="38"/>
      <c r="IZV224" s="38"/>
      <c r="IZW224" s="39"/>
      <c r="IZX224" s="34"/>
      <c r="IZY224" s="34"/>
      <c r="IZZ224" s="34"/>
      <c r="JAA224" s="35"/>
      <c r="JAB224" s="35"/>
      <c r="JAC224" s="35"/>
      <c r="JAD224" s="35"/>
      <c r="JAE224" s="35"/>
      <c r="JAF224" s="34"/>
      <c r="JAG224" s="34"/>
      <c r="JAH224" s="36"/>
      <c r="JAI224" s="36"/>
      <c r="JAJ224" s="37"/>
      <c r="JAK224" s="37"/>
      <c r="JAL224" s="38"/>
      <c r="JAM224" s="38"/>
      <c r="JAN224" s="39"/>
      <c r="JAO224" s="34"/>
      <c r="JAP224" s="34"/>
      <c r="JAQ224" s="34"/>
      <c r="JAR224" s="35"/>
      <c r="JAS224" s="35"/>
      <c r="JAT224" s="35"/>
      <c r="JAU224" s="35"/>
      <c r="JAV224" s="35"/>
      <c r="JAW224" s="34"/>
      <c r="JAX224" s="34"/>
      <c r="JAY224" s="36"/>
      <c r="JAZ224" s="36"/>
      <c r="JBA224" s="37"/>
      <c r="JBB224" s="37"/>
      <c r="JBC224" s="38"/>
      <c r="JBD224" s="38"/>
      <c r="JBE224" s="39"/>
      <c r="JBF224" s="34"/>
      <c r="JBG224" s="34"/>
      <c r="JBH224" s="34"/>
      <c r="JBI224" s="35"/>
      <c r="JBJ224" s="35"/>
      <c r="JBK224" s="35"/>
      <c r="JBL224" s="35"/>
      <c r="JBM224" s="35"/>
      <c r="JBN224" s="34"/>
      <c r="JBO224" s="34"/>
      <c r="JBP224" s="36"/>
      <c r="JBQ224" s="36"/>
      <c r="JBR224" s="37"/>
      <c r="JBS224" s="37"/>
      <c r="JBT224" s="38"/>
      <c r="JBU224" s="38"/>
      <c r="JBV224" s="39"/>
      <c r="JBW224" s="34"/>
      <c r="JBX224" s="34"/>
      <c r="JBY224" s="34"/>
      <c r="JBZ224" s="35"/>
      <c r="JCA224" s="35"/>
      <c r="JCB224" s="35"/>
      <c r="JCC224" s="35"/>
      <c r="JCD224" s="35"/>
      <c r="JCE224" s="34"/>
      <c r="JCF224" s="34"/>
      <c r="JCG224" s="36"/>
      <c r="JCH224" s="36"/>
      <c r="JCI224" s="37"/>
      <c r="JCJ224" s="37"/>
      <c r="JCK224" s="38"/>
      <c r="JCL224" s="38"/>
      <c r="JCM224" s="39"/>
      <c r="JCN224" s="34"/>
      <c r="JCO224" s="34"/>
      <c r="JCP224" s="34"/>
      <c r="JCQ224" s="35"/>
      <c r="JCR224" s="35"/>
      <c r="JCS224" s="35"/>
      <c r="JCT224" s="35"/>
      <c r="JCU224" s="35"/>
      <c r="JCV224" s="34"/>
      <c r="JCW224" s="34"/>
      <c r="JCX224" s="36"/>
      <c r="JCY224" s="36"/>
      <c r="JCZ224" s="37"/>
      <c r="JDA224" s="37"/>
      <c r="JDB224" s="38"/>
      <c r="JDC224" s="38"/>
      <c r="JDD224" s="39"/>
      <c r="JDE224" s="34"/>
      <c r="JDF224" s="34"/>
      <c r="JDG224" s="34"/>
      <c r="JDH224" s="35"/>
      <c r="JDI224" s="35"/>
      <c r="JDJ224" s="35"/>
      <c r="JDK224" s="35"/>
      <c r="JDL224" s="35"/>
      <c r="JDM224" s="34"/>
      <c r="JDN224" s="34"/>
      <c r="JDO224" s="36"/>
      <c r="JDP224" s="36"/>
      <c r="JDQ224" s="37"/>
      <c r="JDR224" s="37"/>
      <c r="JDS224" s="38"/>
      <c r="JDT224" s="38"/>
      <c r="JDU224" s="39"/>
      <c r="JDV224" s="34"/>
      <c r="JDW224" s="34"/>
      <c r="JDX224" s="34"/>
      <c r="JDY224" s="35"/>
      <c r="JDZ224" s="35"/>
      <c r="JEA224" s="35"/>
      <c r="JEB224" s="35"/>
      <c r="JEC224" s="35"/>
      <c r="JED224" s="34"/>
      <c r="JEE224" s="34"/>
      <c r="JEF224" s="36"/>
      <c r="JEG224" s="36"/>
      <c r="JEH224" s="37"/>
      <c r="JEI224" s="37"/>
      <c r="JEJ224" s="38"/>
      <c r="JEK224" s="38"/>
      <c r="JEL224" s="39"/>
      <c r="JEM224" s="34"/>
      <c r="JEN224" s="34"/>
      <c r="JEO224" s="34"/>
      <c r="JEP224" s="35"/>
      <c r="JEQ224" s="35"/>
      <c r="JER224" s="35"/>
      <c r="JES224" s="35"/>
      <c r="JET224" s="35"/>
      <c r="JEU224" s="34"/>
      <c r="JEV224" s="34"/>
      <c r="JEW224" s="36"/>
      <c r="JEX224" s="36"/>
      <c r="JEY224" s="37"/>
      <c r="JEZ224" s="37"/>
      <c r="JFA224" s="38"/>
      <c r="JFB224" s="38"/>
      <c r="JFC224" s="39"/>
      <c r="JFD224" s="34"/>
      <c r="JFE224" s="34"/>
      <c r="JFF224" s="34"/>
      <c r="JFG224" s="35"/>
      <c r="JFH224" s="35"/>
      <c r="JFI224" s="35"/>
      <c r="JFJ224" s="35"/>
      <c r="JFK224" s="35"/>
      <c r="JFL224" s="34"/>
      <c r="JFM224" s="34"/>
      <c r="JFN224" s="36"/>
      <c r="JFO224" s="36"/>
      <c r="JFP224" s="37"/>
      <c r="JFQ224" s="37"/>
      <c r="JFR224" s="38"/>
      <c r="JFS224" s="38"/>
      <c r="JFT224" s="39"/>
      <c r="JFU224" s="34"/>
      <c r="JFV224" s="34"/>
      <c r="JFW224" s="34"/>
      <c r="JFX224" s="35"/>
      <c r="JFY224" s="35"/>
      <c r="JFZ224" s="35"/>
      <c r="JGA224" s="35"/>
      <c r="JGB224" s="35"/>
      <c r="JGC224" s="34"/>
      <c r="JGD224" s="34"/>
      <c r="JGE224" s="36"/>
      <c r="JGF224" s="36"/>
      <c r="JGG224" s="37"/>
      <c r="JGH224" s="37"/>
      <c r="JGI224" s="38"/>
      <c r="JGJ224" s="38"/>
      <c r="JGK224" s="39"/>
      <c r="JGL224" s="34"/>
      <c r="JGM224" s="34"/>
      <c r="JGN224" s="34"/>
      <c r="JGO224" s="35"/>
      <c r="JGP224" s="35"/>
      <c r="JGQ224" s="35"/>
      <c r="JGR224" s="35"/>
      <c r="JGS224" s="35"/>
      <c r="JGT224" s="34"/>
      <c r="JGU224" s="34"/>
      <c r="JGV224" s="36"/>
      <c r="JGW224" s="36"/>
      <c r="JGX224" s="37"/>
      <c r="JGY224" s="37"/>
      <c r="JGZ224" s="38"/>
      <c r="JHA224" s="38"/>
      <c r="JHB224" s="39"/>
      <c r="JHC224" s="34"/>
      <c r="JHD224" s="34"/>
      <c r="JHE224" s="34"/>
      <c r="JHF224" s="35"/>
      <c r="JHG224" s="35"/>
      <c r="JHH224" s="35"/>
      <c r="JHI224" s="35"/>
      <c r="JHJ224" s="35"/>
      <c r="JHK224" s="34"/>
      <c r="JHL224" s="34"/>
      <c r="JHM224" s="36"/>
      <c r="JHN224" s="36"/>
      <c r="JHO224" s="37"/>
      <c r="JHP224" s="37"/>
      <c r="JHQ224" s="38"/>
      <c r="JHR224" s="38"/>
      <c r="JHS224" s="39"/>
      <c r="JHT224" s="34"/>
      <c r="JHU224" s="34"/>
      <c r="JHV224" s="34"/>
      <c r="JHW224" s="35"/>
      <c r="JHX224" s="35"/>
      <c r="JHY224" s="35"/>
      <c r="JHZ224" s="35"/>
      <c r="JIA224" s="35"/>
      <c r="JIB224" s="34"/>
      <c r="JIC224" s="34"/>
      <c r="JID224" s="36"/>
      <c r="JIE224" s="36"/>
      <c r="JIF224" s="37"/>
      <c r="JIG224" s="37"/>
      <c r="JIH224" s="38"/>
      <c r="JII224" s="38"/>
      <c r="JIJ224" s="39"/>
      <c r="JIK224" s="34"/>
      <c r="JIL224" s="34"/>
      <c r="JIM224" s="34"/>
      <c r="JIN224" s="35"/>
      <c r="JIO224" s="35"/>
      <c r="JIP224" s="35"/>
      <c r="JIQ224" s="35"/>
      <c r="JIR224" s="35"/>
      <c r="JIS224" s="34"/>
      <c r="JIT224" s="34"/>
      <c r="JIU224" s="36"/>
      <c r="JIV224" s="36"/>
      <c r="JIW224" s="37"/>
      <c r="JIX224" s="37"/>
      <c r="JIY224" s="38"/>
      <c r="JIZ224" s="38"/>
      <c r="JJA224" s="39"/>
      <c r="JJB224" s="34"/>
      <c r="JJC224" s="34"/>
      <c r="JJD224" s="34"/>
      <c r="JJE224" s="35"/>
      <c r="JJF224" s="35"/>
      <c r="JJG224" s="35"/>
      <c r="JJH224" s="35"/>
      <c r="JJI224" s="35"/>
      <c r="JJJ224" s="34"/>
      <c r="JJK224" s="34"/>
      <c r="JJL224" s="36"/>
      <c r="JJM224" s="36"/>
      <c r="JJN224" s="37"/>
      <c r="JJO224" s="37"/>
      <c r="JJP224" s="38"/>
      <c r="JJQ224" s="38"/>
      <c r="JJR224" s="39"/>
      <c r="JJS224" s="34"/>
      <c r="JJT224" s="34"/>
      <c r="JJU224" s="34"/>
      <c r="JJV224" s="35"/>
      <c r="JJW224" s="35"/>
      <c r="JJX224" s="35"/>
      <c r="JJY224" s="35"/>
      <c r="JJZ224" s="35"/>
      <c r="JKA224" s="34"/>
      <c r="JKB224" s="34"/>
      <c r="JKC224" s="36"/>
      <c r="JKD224" s="36"/>
      <c r="JKE224" s="37"/>
      <c r="JKF224" s="37"/>
      <c r="JKG224" s="38"/>
      <c r="JKH224" s="38"/>
      <c r="JKI224" s="39"/>
      <c r="JKJ224" s="34"/>
      <c r="JKK224" s="34"/>
      <c r="JKL224" s="34"/>
      <c r="JKM224" s="35"/>
      <c r="JKN224" s="35"/>
      <c r="JKO224" s="35"/>
      <c r="JKP224" s="35"/>
      <c r="JKQ224" s="35"/>
      <c r="JKR224" s="34"/>
      <c r="JKS224" s="34"/>
      <c r="JKT224" s="36"/>
      <c r="JKU224" s="36"/>
      <c r="JKV224" s="37"/>
      <c r="JKW224" s="37"/>
      <c r="JKX224" s="38"/>
      <c r="JKY224" s="38"/>
      <c r="JKZ224" s="39"/>
      <c r="JLA224" s="34"/>
      <c r="JLB224" s="34"/>
      <c r="JLC224" s="34"/>
      <c r="JLD224" s="35"/>
      <c r="JLE224" s="35"/>
      <c r="JLF224" s="35"/>
      <c r="JLG224" s="35"/>
      <c r="JLH224" s="35"/>
      <c r="JLI224" s="34"/>
      <c r="JLJ224" s="34"/>
      <c r="JLK224" s="36"/>
      <c r="JLL224" s="36"/>
      <c r="JLM224" s="37"/>
      <c r="JLN224" s="37"/>
      <c r="JLO224" s="38"/>
      <c r="JLP224" s="38"/>
      <c r="JLQ224" s="39"/>
      <c r="JLR224" s="34"/>
      <c r="JLS224" s="34"/>
      <c r="JLT224" s="34"/>
      <c r="JLU224" s="35"/>
      <c r="JLV224" s="35"/>
      <c r="JLW224" s="35"/>
      <c r="JLX224" s="35"/>
      <c r="JLY224" s="35"/>
      <c r="JLZ224" s="34"/>
      <c r="JMA224" s="34"/>
      <c r="JMB224" s="36"/>
      <c r="JMC224" s="36"/>
      <c r="JMD224" s="37"/>
      <c r="JME224" s="37"/>
      <c r="JMF224" s="38"/>
      <c r="JMG224" s="38"/>
      <c r="JMH224" s="39"/>
      <c r="JMI224" s="34"/>
      <c r="JMJ224" s="34"/>
      <c r="JMK224" s="34"/>
      <c r="JML224" s="35"/>
      <c r="JMM224" s="35"/>
      <c r="JMN224" s="35"/>
      <c r="JMO224" s="35"/>
      <c r="JMP224" s="35"/>
      <c r="JMQ224" s="34"/>
      <c r="JMR224" s="34"/>
      <c r="JMS224" s="36"/>
      <c r="JMT224" s="36"/>
      <c r="JMU224" s="37"/>
      <c r="JMV224" s="37"/>
      <c r="JMW224" s="38"/>
      <c r="JMX224" s="38"/>
      <c r="JMY224" s="39"/>
      <c r="JMZ224" s="34"/>
      <c r="JNA224" s="34"/>
      <c r="JNB224" s="34"/>
      <c r="JNC224" s="35"/>
      <c r="JND224" s="35"/>
      <c r="JNE224" s="35"/>
      <c r="JNF224" s="35"/>
      <c r="JNG224" s="35"/>
      <c r="JNH224" s="34"/>
      <c r="JNI224" s="34"/>
      <c r="JNJ224" s="36"/>
      <c r="JNK224" s="36"/>
      <c r="JNL224" s="37"/>
      <c r="JNM224" s="37"/>
      <c r="JNN224" s="38"/>
      <c r="JNO224" s="38"/>
      <c r="JNP224" s="39"/>
      <c r="JNQ224" s="34"/>
      <c r="JNR224" s="34"/>
      <c r="JNS224" s="34"/>
      <c r="JNT224" s="35"/>
      <c r="JNU224" s="35"/>
      <c r="JNV224" s="35"/>
      <c r="JNW224" s="35"/>
      <c r="JNX224" s="35"/>
      <c r="JNY224" s="34"/>
      <c r="JNZ224" s="34"/>
      <c r="JOA224" s="36"/>
      <c r="JOB224" s="36"/>
      <c r="JOC224" s="37"/>
      <c r="JOD224" s="37"/>
      <c r="JOE224" s="38"/>
      <c r="JOF224" s="38"/>
      <c r="JOG224" s="39"/>
      <c r="JOH224" s="34"/>
      <c r="JOI224" s="34"/>
      <c r="JOJ224" s="34"/>
      <c r="JOK224" s="35"/>
      <c r="JOL224" s="35"/>
      <c r="JOM224" s="35"/>
      <c r="JON224" s="35"/>
      <c r="JOO224" s="35"/>
      <c r="JOP224" s="34"/>
      <c r="JOQ224" s="34"/>
      <c r="JOR224" s="36"/>
      <c r="JOS224" s="36"/>
      <c r="JOT224" s="37"/>
      <c r="JOU224" s="37"/>
      <c r="JOV224" s="38"/>
      <c r="JOW224" s="38"/>
      <c r="JOX224" s="39"/>
      <c r="JOY224" s="34"/>
      <c r="JOZ224" s="34"/>
      <c r="JPA224" s="34"/>
      <c r="JPB224" s="35"/>
      <c r="JPC224" s="35"/>
      <c r="JPD224" s="35"/>
      <c r="JPE224" s="35"/>
      <c r="JPF224" s="35"/>
      <c r="JPG224" s="34"/>
      <c r="JPH224" s="34"/>
      <c r="JPI224" s="36"/>
      <c r="JPJ224" s="36"/>
      <c r="JPK224" s="37"/>
      <c r="JPL224" s="37"/>
      <c r="JPM224" s="38"/>
      <c r="JPN224" s="38"/>
      <c r="JPO224" s="39"/>
      <c r="JPP224" s="34"/>
      <c r="JPQ224" s="34"/>
      <c r="JPR224" s="34"/>
      <c r="JPS224" s="35"/>
      <c r="JPT224" s="35"/>
      <c r="JPU224" s="35"/>
      <c r="JPV224" s="35"/>
      <c r="JPW224" s="35"/>
      <c r="JPX224" s="34"/>
      <c r="JPY224" s="34"/>
      <c r="JPZ224" s="36"/>
      <c r="JQA224" s="36"/>
      <c r="JQB224" s="37"/>
      <c r="JQC224" s="37"/>
      <c r="JQD224" s="38"/>
      <c r="JQE224" s="38"/>
      <c r="JQF224" s="39"/>
      <c r="JQG224" s="34"/>
      <c r="JQH224" s="34"/>
      <c r="JQI224" s="34"/>
      <c r="JQJ224" s="35"/>
      <c r="JQK224" s="35"/>
      <c r="JQL224" s="35"/>
      <c r="JQM224" s="35"/>
      <c r="JQN224" s="35"/>
      <c r="JQO224" s="34"/>
      <c r="JQP224" s="34"/>
      <c r="JQQ224" s="36"/>
      <c r="JQR224" s="36"/>
      <c r="JQS224" s="37"/>
      <c r="JQT224" s="37"/>
      <c r="JQU224" s="38"/>
      <c r="JQV224" s="38"/>
      <c r="JQW224" s="39"/>
      <c r="JQX224" s="34"/>
      <c r="JQY224" s="34"/>
      <c r="JQZ224" s="34"/>
      <c r="JRA224" s="35"/>
      <c r="JRB224" s="35"/>
      <c r="JRC224" s="35"/>
      <c r="JRD224" s="35"/>
      <c r="JRE224" s="35"/>
      <c r="JRF224" s="34"/>
      <c r="JRG224" s="34"/>
      <c r="JRH224" s="36"/>
      <c r="JRI224" s="36"/>
      <c r="JRJ224" s="37"/>
      <c r="JRK224" s="37"/>
      <c r="JRL224" s="38"/>
      <c r="JRM224" s="38"/>
      <c r="JRN224" s="39"/>
      <c r="JRO224" s="34"/>
      <c r="JRP224" s="34"/>
      <c r="JRQ224" s="34"/>
      <c r="JRR224" s="35"/>
      <c r="JRS224" s="35"/>
      <c r="JRT224" s="35"/>
      <c r="JRU224" s="35"/>
      <c r="JRV224" s="35"/>
      <c r="JRW224" s="34"/>
      <c r="JRX224" s="34"/>
      <c r="JRY224" s="36"/>
      <c r="JRZ224" s="36"/>
      <c r="JSA224" s="37"/>
      <c r="JSB224" s="37"/>
      <c r="JSC224" s="38"/>
      <c r="JSD224" s="38"/>
      <c r="JSE224" s="39"/>
      <c r="JSF224" s="34"/>
      <c r="JSG224" s="34"/>
      <c r="JSH224" s="34"/>
      <c r="JSI224" s="35"/>
      <c r="JSJ224" s="35"/>
      <c r="JSK224" s="35"/>
      <c r="JSL224" s="35"/>
      <c r="JSM224" s="35"/>
      <c r="JSN224" s="34"/>
      <c r="JSO224" s="34"/>
      <c r="JSP224" s="36"/>
      <c r="JSQ224" s="36"/>
      <c r="JSR224" s="37"/>
      <c r="JSS224" s="37"/>
      <c r="JST224" s="38"/>
      <c r="JSU224" s="38"/>
      <c r="JSV224" s="39"/>
      <c r="JSW224" s="34"/>
      <c r="JSX224" s="34"/>
      <c r="JSY224" s="34"/>
      <c r="JSZ224" s="35"/>
      <c r="JTA224" s="35"/>
      <c r="JTB224" s="35"/>
      <c r="JTC224" s="35"/>
      <c r="JTD224" s="35"/>
      <c r="JTE224" s="34"/>
      <c r="JTF224" s="34"/>
      <c r="JTG224" s="36"/>
      <c r="JTH224" s="36"/>
      <c r="JTI224" s="37"/>
      <c r="JTJ224" s="37"/>
      <c r="JTK224" s="38"/>
      <c r="JTL224" s="38"/>
      <c r="JTM224" s="39"/>
      <c r="JTN224" s="34"/>
      <c r="JTO224" s="34"/>
      <c r="JTP224" s="34"/>
      <c r="JTQ224" s="35"/>
      <c r="JTR224" s="35"/>
      <c r="JTS224" s="35"/>
      <c r="JTT224" s="35"/>
      <c r="JTU224" s="35"/>
      <c r="JTV224" s="34"/>
      <c r="JTW224" s="34"/>
      <c r="JTX224" s="36"/>
      <c r="JTY224" s="36"/>
      <c r="JTZ224" s="37"/>
      <c r="JUA224" s="37"/>
      <c r="JUB224" s="38"/>
      <c r="JUC224" s="38"/>
      <c r="JUD224" s="39"/>
      <c r="JUE224" s="34"/>
      <c r="JUF224" s="34"/>
      <c r="JUG224" s="34"/>
      <c r="JUH224" s="35"/>
      <c r="JUI224" s="35"/>
      <c r="JUJ224" s="35"/>
      <c r="JUK224" s="35"/>
      <c r="JUL224" s="35"/>
      <c r="JUM224" s="34"/>
      <c r="JUN224" s="34"/>
      <c r="JUO224" s="36"/>
      <c r="JUP224" s="36"/>
      <c r="JUQ224" s="37"/>
      <c r="JUR224" s="37"/>
      <c r="JUS224" s="38"/>
      <c r="JUT224" s="38"/>
      <c r="JUU224" s="39"/>
      <c r="JUV224" s="34"/>
      <c r="JUW224" s="34"/>
      <c r="JUX224" s="34"/>
      <c r="JUY224" s="35"/>
      <c r="JUZ224" s="35"/>
      <c r="JVA224" s="35"/>
      <c r="JVB224" s="35"/>
      <c r="JVC224" s="35"/>
      <c r="JVD224" s="34"/>
      <c r="JVE224" s="34"/>
      <c r="JVF224" s="36"/>
      <c r="JVG224" s="36"/>
      <c r="JVH224" s="37"/>
      <c r="JVI224" s="37"/>
      <c r="JVJ224" s="38"/>
      <c r="JVK224" s="38"/>
      <c r="JVL224" s="39"/>
      <c r="JVM224" s="34"/>
      <c r="JVN224" s="34"/>
      <c r="JVO224" s="34"/>
      <c r="JVP224" s="35"/>
      <c r="JVQ224" s="35"/>
      <c r="JVR224" s="35"/>
      <c r="JVS224" s="35"/>
      <c r="JVT224" s="35"/>
      <c r="JVU224" s="34"/>
      <c r="JVV224" s="34"/>
      <c r="JVW224" s="36"/>
      <c r="JVX224" s="36"/>
      <c r="JVY224" s="37"/>
      <c r="JVZ224" s="37"/>
      <c r="JWA224" s="38"/>
      <c r="JWB224" s="38"/>
      <c r="JWC224" s="39"/>
      <c r="JWD224" s="34"/>
      <c r="JWE224" s="34"/>
      <c r="JWF224" s="34"/>
      <c r="JWG224" s="35"/>
      <c r="JWH224" s="35"/>
      <c r="JWI224" s="35"/>
      <c r="JWJ224" s="35"/>
      <c r="JWK224" s="35"/>
      <c r="JWL224" s="34"/>
      <c r="JWM224" s="34"/>
      <c r="JWN224" s="36"/>
      <c r="JWO224" s="36"/>
      <c r="JWP224" s="37"/>
      <c r="JWQ224" s="37"/>
      <c r="JWR224" s="38"/>
      <c r="JWS224" s="38"/>
      <c r="JWT224" s="39"/>
      <c r="JWU224" s="34"/>
      <c r="JWV224" s="34"/>
      <c r="JWW224" s="34"/>
      <c r="JWX224" s="35"/>
      <c r="JWY224" s="35"/>
      <c r="JWZ224" s="35"/>
      <c r="JXA224" s="35"/>
      <c r="JXB224" s="35"/>
      <c r="JXC224" s="34"/>
      <c r="JXD224" s="34"/>
      <c r="JXE224" s="36"/>
      <c r="JXF224" s="36"/>
      <c r="JXG224" s="37"/>
      <c r="JXH224" s="37"/>
      <c r="JXI224" s="38"/>
      <c r="JXJ224" s="38"/>
      <c r="JXK224" s="39"/>
      <c r="JXL224" s="34"/>
      <c r="JXM224" s="34"/>
      <c r="JXN224" s="34"/>
      <c r="JXO224" s="35"/>
      <c r="JXP224" s="35"/>
      <c r="JXQ224" s="35"/>
      <c r="JXR224" s="35"/>
      <c r="JXS224" s="35"/>
      <c r="JXT224" s="34"/>
      <c r="JXU224" s="34"/>
      <c r="JXV224" s="36"/>
      <c r="JXW224" s="36"/>
      <c r="JXX224" s="37"/>
      <c r="JXY224" s="37"/>
      <c r="JXZ224" s="38"/>
      <c r="JYA224" s="38"/>
      <c r="JYB224" s="39"/>
      <c r="JYC224" s="34"/>
      <c r="JYD224" s="34"/>
      <c r="JYE224" s="34"/>
      <c r="JYF224" s="35"/>
      <c r="JYG224" s="35"/>
      <c r="JYH224" s="35"/>
      <c r="JYI224" s="35"/>
      <c r="JYJ224" s="35"/>
      <c r="JYK224" s="34"/>
      <c r="JYL224" s="34"/>
      <c r="JYM224" s="36"/>
      <c r="JYN224" s="36"/>
      <c r="JYO224" s="37"/>
      <c r="JYP224" s="37"/>
      <c r="JYQ224" s="38"/>
      <c r="JYR224" s="38"/>
      <c r="JYS224" s="39"/>
      <c r="JYT224" s="34"/>
      <c r="JYU224" s="34"/>
      <c r="JYV224" s="34"/>
      <c r="JYW224" s="35"/>
      <c r="JYX224" s="35"/>
      <c r="JYY224" s="35"/>
      <c r="JYZ224" s="35"/>
      <c r="JZA224" s="35"/>
      <c r="JZB224" s="34"/>
      <c r="JZC224" s="34"/>
      <c r="JZD224" s="36"/>
      <c r="JZE224" s="36"/>
      <c r="JZF224" s="37"/>
      <c r="JZG224" s="37"/>
      <c r="JZH224" s="38"/>
      <c r="JZI224" s="38"/>
      <c r="JZJ224" s="39"/>
      <c r="JZK224" s="34"/>
      <c r="JZL224" s="34"/>
      <c r="JZM224" s="34"/>
      <c r="JZN224" s="35"/>
      <c r="JZO224" s="35"/>
      <c r="JZP224" s="35"/>
      <c r="JZQ224" s="35"/>
      <c r="JZR224" s="35"/>
      <c r="JZS224" s="34"/>
      <c r="JZT224" s="34"/>
      <c r="JZU224" s="36"/>
      <c r="JZV224" s="36"/>
      <c r="JZW224" s="37"/>
      <c r="JZX224" s="37"/>
      <c r="JZY224" s="38"/>
      <c r="JZZ224" s="38"/>
      <c r="KAA224" s="39"/>
      <c r="KAB224" s="34"/>
      <c r="KAC224" s="34"/>
      <c r="KAD224" s="34"/>
      <c r="KAE224" s="35"/>
      <c r="KAF224" s="35"/>
      <c r="KAG224" s="35"/>
      <c r="KAH224" s="35"/>
      <c r="KAI224" s="35"/>
      <c r="KAJ224" s="34"/>
      <c r="KAK224" s="34"/>
      <c r="KAL224" s="36"/>
      <c r="KAM224" s="36"/>
      <c r="KAN224" s="37"/>
      <c r="KAO224" s="37"/>
      <c r="KAP224" s="38"/>
      <c r="KAQ224" s="38"/>
      <c r="KAR224" s="39"/>
      <c r="KAS224" s="34"/>
      <c r="KAT224" s="34"/>
      <c r="KAU224" s="34"/>
      <c r="KAV224" s="35"/>
      <c r="KAW224" s="35"/>
      <c r="KAX224" s="35"/>
      <c r="KAY224" s="35"/>
      <c r="KAZ224" s="35"/>
      <c r="KBA224" s="34"/>
      <c r="KBB224" s="34"/>
      <c r="KBC224" s="36"/>
      <c r="KBD224" s="36"/>
      <c r="KBE224" s="37"/>
      <c r="KBF224" s="37"/>
      <c r="KBG224" s="38"/>
      <c r="KBH224" s="38"/>
      <c r="KBI224" s="39"/>
      <c r="KBJ224" s="34"/>
      <c r="KBK224" s="34"/>
      <c r="KBL224" s="34"/>
      <c r="KBM224" s="35"/>
      <c r="KBN224" s="35"/>
      <c r="KBO224" s="35"/>
      <c r="KBP224" s="35"/>
      <c r="KBQ224" s="35"/>
      <c r="KBR224" s="34"/>
      <c r="KBS224" s="34"/>
      <c r="KBT224" s="36"/>
      <c r="KBU224" s="36"/>
      <c r="KBV224" s="37"/>
      <c r="KBW224" s="37"/>
      <c r="KBX224" s="38"/>
      <c r="KBY224" s="38"/>
      <c r="KBZ224" s="39"/>
      <c r="KCA224" s="34"/>
      <c r="KCB224" s="34"/>
      <c r="KCC224" s="34"/>
      <c r="KCD224" s="35"/>
      <c r="KCE224" s="35"/>
      <c r="KCF224" s="35"/>
      <c r="KCG224" s="35"/>
      <c r="KCH224" s="35"/>
      <c r="KCI224" s="34"/>
      <c r="KCJ224" s="34"/>
      <c r="KCK224" s="36"/>
      <c r="KCL224" s="36"/>
      <c r="KCM224" s="37"/>
      <c r="KCN224" s="37"/>
      <c r="KCO224" s="38"/>
      <c r="KCP224" s="38"/>
      <c r="KCQ224" s="39"/>
      <c r="KCR224" s="34"/>
      <c r="KCS224" s="34"/>
      <c r="KCT224" s="34"/>
      <c r="KCU224" s="35"/>
      <c r="KCV224" s="35"/>
      <c r="KCW224" s="35"/>
      <c r="KCX224" s="35"/>
      <c r="KCY224" s="35"/>
      <c r="KCZ224" s="34"/>
      <c r="KDA224" s="34"/>
      <c r="KDB224" s="36"/>
      <c r="KDC224" s="36"/>
      <c r="KDD224" s="37"/>
      <c r="KDE224" s="37"/>
      <c r="KDF224" s="38"/>
      <c r="KDG224" s="38"/>
      <c r="KDH224" s="39"/>
      <c r="KDI224" s="34"/>
      <c r="KDJ224" s="34"/>
      <c r="KDK224" s="34"/>
      <c r="KDL224" s="35"/>
      <c r="KDM224" s="35"/>
      <c r="KDN224" s="35"/>
      <c r="KDO224" s="35"/>
      <c r="KDP224" s="35"/>
      <c r="KDQ224" s="34"/>
      <c r="KDR224" s="34"/>
      <c r="KDS224" s="36"/>
      <c r="KDT224" s="36"/>
      <c r="KDU224" s="37"/>
      <c r="KDV224" s="37"/>
      <c r="KDW224" s="38"/>
      <c r="KDX224" s="38"/>
      <c r="KDY224" s="39"/>
      <c r="KDZ224" s="34"/>
      <c r="KEA224" s="34"/>
      <c r="KEB224" s="34"/>
      <c r="KEC224" s="35"/>
      <c r="KED224" s="35"/>
      <c r="KEE224" s="35"/>
      <c r="KEF224" s="35"/>
      <c r="KEG224" s="35"/>
      <c r="KEH224" s="34"/>
      <c r="KEI224" s="34"/>
      <c r="KEJ224" s="36"/>
      <c r="KEK224" s="36"/>
      <c r="KEL224" s="37"/>
      <c r="KEM224" s="37"/>
      <c r="KEN224" s="38"/>
      <c r="KEO224" s="38"/>
      <c r="KEP224" s="39"/>
      <c r="KEQ224" s="34"/>
      <c r="KER224" s="34"/>
      <c r="KES224" s="34"/>
      <c r="KET224" s="35"/>
      <c r="KEU224" s="35"/>
      <c r="KEV224" s="35"/>
      <c r="KEW224" s="35"/>
      <c r="KEX224" s="35"/>
      <c r="KEY224" s="34"/>
      <c r="KEZ224" s="34"/>
      <c r="KFA224" s="36"/>
      <c r="KFB224" s="36"/>
      <c r="KFC224" s="37"/>
      <c r="KFD224" s="37"/>
      <c r="KFE224" s="38"/>
      <c r="KFF224" s="38"/>
      <c r="KFG224" s="39"/>
      <c r="KFH224" s="34"/>
      <c r="KFI224" s="34"/>
      <c r="KFJ224" s="34"/>
      <c r="KFK224" s="35"/>
      <c r="KFL224" s="35"/>
      <c r="KFM224" s="35"/>
      <c r="KFN224" s="35"/>
      <c r="KFO224" s="35"/>
      <c r="KFP224" s="34"/>
      <c r="KFQ224" s="34"/>
      <c r="KFR224" s="36"/>
      <c r="KFS224" s="36"/>
      <c r="KFT224" s="37"/>
      <c r="KFU224" s="37"/>
      <c r="KFV224" s="38"/>
      <c r="KFW224" s="38"/>
      <c r="KFX224" s="39"/>
      <c r="KFY224" s="34"/>
      <c r="KFZ224" s="34"/>
      <c r="KGA224" s="34"/>
      <c r="KGB224" s="35"/>
      <c r="KGC224" s="35"/>
      <c r="KGD224" s="35"/>
      <c r="KGE224" s="35"/>
      <c r="KGF224" s="35"/>
      <c r="KGG224" s="34"/>
      <c r="KGH224" s="34"/>
      <c r="KGI224" s="36"/>
      <c r="KGJ224" s="36"/>
      <c r="KGK224" s="37"/>
      <c r="KGL224" s="37"/>
      <c r="KGM224" s="38"/>
      <c r="KGN224" s="38"/>
      <c r="KGO224" s="39"/>
      <c r="KGP224" s="34"/>
      <c r="KGQ224" s="34"/>
      <c r="KGR224" s="34"/>
      <c r="KGS224" s="35"/>
      <c r="KGT224" s="35"/>
      <c r="KGU224" s="35"/>
      <c r="KGV224" s="35"/>
      <c r="KGW224" s="35"/>
      <c r="KGX224" s="34"/>
      <c r="KGY224" s="34"/>
      <c r="KGZ224" s="36"/>
      <c r="KHA224" s="36"/>
      <c r="KHB224" s="37"/>
      <c r="KHC224" s="37"/>
      <c r="KHD224" s="38"/>
      <c r="KHE224" s="38"/>
      <c r="KHF224" s="39"/>
      <c r="KHG224" s="34"/>
      <c r="KHH224" s="34"/>
      <c r="KHI224" s="34"/>
      <c r="KHJ224" s="35"/>
      <c r="KHK224" s="35"/>
      <c r="KHL224" s="35"/>
      <c r="KHM224" s="35"/>
      <c r="KHN224" s="35"/>
      <c r="KHO224" s="34"/>
      <c r="KHP224" s="34"/>
      <c r="KHQ224" s="36"/>
      <c r="KHR224" s="36"/>
      <c r="KHS224" s="37"/>
      <c r="KHT224" s="37"/>
      <c r="KHU224" s="38"/>
      <c r="KHV224" s="38"/>
      <c r="KHW224" s="39"/>
      <c r="KHX224" s="34"/>
      <c r="KHY224" s="34"/>
      <c r="KHZ224" s="34"/>
      <c r="KIA224" s="35"/>
      <c r="KIB224" s="35"/>
      <c r="KIC224" s="35"/>
      <c r="KID224" s="35"/>
      <c r="KIE224" s="35"/>
      <c r="KIF224" s="34"/>
      <c r="KIG224" s="34"/>
      <c r="KIH224" s="36"/>
      <c r="KII224" s="36"/>
      <c r="KIJ224" s="37"/>
      <c r="KIK224" s="37"/>
      <c r="KIL224" s="38"/>
      <c r="KIM224" s="38"/>
      <c r="KIN224" s="39"/>
      <c r="KIO224" s="34"/>
      <c r="KIP224" s="34"/>
      <c r="KIQ224" s="34"/>
      <c r="KIR224" s="35"/>
      <c r="KIS224" s="35"/>
      <c r="KIT224" s="35"/>
      <c r="KIU224" s="35"/>
      <c r="KIV224" s="35"/>
      <c r="KIW224" s="34"/>
      <c r="KIX224" s="34"/>
      <c r="KIY224" s="36"/>
      <c r="KIZ224" s="36"/>
      <c r="KJA224" s="37"/>
      <c r="KJB224" s="37"/>
      <c r="KJC224" s="38"/>
      <c r="KJD224" s="38"/>
      <c r="KJE224" s="39"/>
      <c r="KJF224" s="34"/>
      <c r="KJG224" s="34"/>
      <c r="KJH224" s="34"/>
      <c r="KJI224" s="35"/>
      <c r="KJJ224" s="35"/>
      <c r="KJK224" s="35"/>
      <c r="KJL224" s="35"/>
      <c r="KJM224" s="35"/>
      <c r="KJN224" s="34"/>
      <c r="KJO224" s="34"/>
      <c r="KJP224" s="36"/>
      <c r="KJQ224" s="36"/>
      <c r="KJR224" s="37"/>
      <c r="KJS224" s="37"/>
      <c r="KJT224" s="38"/>
      <c r="KJU224" s="38"/>
      <c r="KJV224" s="39"/>
      <c r="KJW224" s="34"/>
      <c r="KJX224" s="34"/>
      <c r="KJY224" s="34"/>
      <c r="KJZ224" s="35"/>
      <c r="KKA224" s="35"/>
      <c r="KKB224" s="35"/>
      <c r="KKC224" s="35"/>
      <c r="KKD224" s="35"/>
      <c r="KKE224" s="34"/>
      <c r="KKF224" s="34"/>
      <c r="KKG224" s="36"/>
      <c r="KKH224" s="36"/>
      <c r="KKI224" s="37"/>
      <c r="KKJ224" s="37"/>
      <c r="KKK224" s="38"/>
      <c r="KKL224" s="38"/>
      <c r="KKM224" s="39"/>
      <c r="KKN224" s="34"/>
      <c r="KKO224" s="34"/>
      <c r="KKP224" s="34"/>
      <c r="KKQ224" s="35"/>
      <c r="KKR224" s="35"/>
      <c r="KKS224" s="35"/>
      <c r="KKT224" s="35"/>
      <c r="KKU224" s="35"/>
      <c r="KKV224" s="34"/>
      <c r="KKW224" s="34"/>
      <c r="KKX224" s="36"/>
      <c r="KKY224" s="36"/>
      <c r="KKZ224" s="37"/>
      <c r="KLA224" s="37"/>
      <c r="KLB224" s="38"/>
      <c r="KLC224" s="38"/>
      <c r="KLD224" s="39"/>
      <c r="KLE224" s="34"/>
      <c r="KLF224" s="34"/>
      <c r="KLG224" s="34"/>
      <c r="KLH224" s="35"/>
      <c r="KLI224" s="35"/>
      <c r="KLJ224" s="35"/>
      <c r="KLK224" s="35"/>
      <c r="KLL224" s="35"/>
      <c r="KLM224" s="34"/>
      <c r="KLN224" s="34"/>
      <c r="KLO224" s="36"/>
      <c r="KLP224" s="36"/>
      <c r="KLQ224" s="37"/>
      <c r="KLR224" s="37"/>
      <c r="KLS224" s="38"/>
      <c r="KLT224" s="38"/>
      <c r="KLU224" s="39"/>
      <c r="KLV224" s="34"/>
      <c r="KLW224" s="34"/>
      <c r="KLX224" s="34"/>
      <c r="KLY224" s="35"/>
      <c r="KLZ224" s="35"/>
      <c r="KMA224" s="35"/>
      <c r="KMB224" s="35"/>
      <c r="KMC224" s="35"/>
      <c r="KMD224" s="34"/>
      <c r="KME224" s="34"/>
      <c r="KMF224" s="36"/>
      <c r="KMG224" s="36"/>
      <c r="KMH224" s="37"/>
      <c r="KMI224" s="37"/>
      <c r="KMJ224" s="38"/>
      <c r="KMK224" s="38"/>
      <c r="KML224" s="39"/>
      <c r="KMM224" s="34"/>
      <c r="KMN224" s="34"/>
      <c r="KMO224" s="34"/>
      <c r="KMP224" s="35"/>
      <c r="KMQ224" s="35"/>
      <c r="KMR224" s="35"/>
      <c r="KMS224" s="35"/>
      <c r="KMT224" s="35"/>
      <c r="KMU224" s="34"/>
      <c r="KMV224" s="34"/>
      <c r="KMW224" s="36"/>
      <c r="KMX224" s="36"/>
      <c r="KMY224" s="37"/>
      <c r="KMZ224" s="37"/>
      <c r="KNA224" s="38"/>
      <c r="KNB224" s="38"/>
      <c r="KNC224" s="39"/>
      <c r="KND224" s="34"/>
      <c r="KNE224" s="34"/>
      <c r="KNF224" s="34"/>
      <c r="KNG224" s="35"/>
      <c r="KNH224" s="35"/>
      <c r="KNI224" s="35"/>
      <c r="KNJ224" s="35"/>
      <c r="KNK224" s="35"/>
      <c r="KNL224" s="34"/>
      <c r="KNM224" s="34"/>
      <c r="KNN224" s="36"/>
      <c r="KNO224" s="36"/>
      <c r="KNP224" s="37"/>
      <c r="KNQ224" s="37"/>
      <c r="KNR224" s="38"/>
      <c r="KNS224" s="38"/>
      <c r="KNT224" s="39"/>
      <c r="KNU224" s="34"/>
      <c r="KNV224" s="34"/>
      <c r="KNW224" s="34"/>
      <c r="KNX224" s="35"/>
      <c r="KNY224" s="35"/>
      <c r="KNZ224" s="35"/>
      <c r="KOA224" s="35"/>
      <c r="KOB224" s="35"/>
      <c r="KOC224" s="34"/>
      <c r="KOD224" s="34"/>
      <c r="KOE224" s="36"/>
      <c r="KOF224" s="36"/>
      <c r="KOG224" s="37"/>
      <c r="KOH224" s="37"/>
      <c r="KOI224" s="38"/>
      <c r="KOJ224" s="38"/>
      <c r="KOK224" s="39"/>
      <c r="KOL224" s="34"/>
      <c r="KOM224" s="34"/>
      <c r="KON224" s="34"/>
      <c r="KOO224" s="35"/>
      <c r="KOP224" s="35"/>
      <c r="KOQ224" s="35"/>
      <c r="KOR224" s="35"/>
      <c r="KOS224" s="35"/>
      <c r="KOT224" s="34"/>
      <c r="KOU224" s="34"/>
      <c r="KOV224" s="36"/>
      <c r="KOW224" s="36"/>
      <c r="KOX224" s="37"/>
      <c r="KOY224" s="37"/>
      <c r="KOZ224" s="38"/>
      <c r="KPA224" s="38"/>
      <c r="KPB224" s="39"/>
      <c r="KPC224" s="34"/>
      <c r="KPD224" s="34"/>
      <c r="KPE224" s="34"/>
      <c r="KPF224" s="35"/>
      <c r="KPG224" s="35"/>
      <c r="KPH224" s="35"/>
      <c r="KPI224" s="35"/>
      <c r="KPJ224" s="35"/>
      <c r="KPK224" s="34"/>
      <c r="KPL224" s="34"/>
      <c r="KPM224" s="36"/>
      <c r="KPN224" s="36"/>
      <c r="KPO224" s="37"/>
      <c r="KPP224" s="37"/>
      <c r="KPQ224" s="38"/>
      <c r="KPR224" s="38"/>
      <c r="KPS224" s="39"/>
      <c r="KPT224" s="34"/>
      <c r="KPU224" s="34"/>
      <c r="KPV224" s="34"/>
      <c r="KPW224" s="35"/>
      <c r="KPX224" s="35"/>
      <c r="KPY224" s="35"/>
      <c r="KPZ224" s="35"/>
      <c r="KQA224" s="35"/>
      <c r="KQB224" s="34"/>
      <c r="KQC224" s="34"/>
      <c r="KQD224" s="36"/>
      <c r="KQE224" s="36"/>
      <c r="KQF224" s="37"/>
      <c r="KQG224" s="37"/>
      <c r="KQH224" s="38"/>
      <c r="KQI224" s="38"/>
      <c r="KQJ224" s="39"/>
      <c r="KQK224" s="34"/>
      <c r="KQL224" s="34"/>
      <c r="KQM224" s="34"/>
      <c r="KQN224" s="35"/>
      <c r="KQO224" s="35"/>
      <c r="KQP224" s="35"/>
      <c r="KQQ224" s="35"/>
      <c r="KQR224" s="35"/>
      <c r="KQS224" s="34"/>
      <c r="KQT224" s="34"/>
      <c r="KQU224" s="36"/>
      <c r="KQV224" s="36"/>
      <c r="KQW224" s="37"/>
      <c r="KQX224" s="37"/>
      <c r="KQY224" s="38"/>
      <c r="KQZ224" s="38"/>
      <c r="KRA224" s="39"/>
      <c r="KRB224" s="34"/>
      <c r="KRC224" s="34"/>
      <c r="KRD224" s="34"/>
      <c r="KRE224" s="35"/>
      <c r="KRF224" s="35"/>
      <c r="KRG224" s="35"/>
      <c r="KRH224" s="35"/>
      <c r="KRI224" s="35"/>
      <c r="KRJ224" s="34"/>
      <c r="KRK224" s="34"/>
      <c r="KRL224" s="36"/>
      <c r="KRM224" s="36"/>
      <c r="KRN224" s="37"/>
      <c r="KRO224" s="37"/>
      <c r="KRP224" s="38"/>
      <c r="KRQ224" s="38"/>
      <c r="KRR224" s="39"/>
      <c r="KRS224" s="34"/>
      <c r="KRT224" s="34"/>
      <c r="KRU224" s="34"/>
      <c r="KRV224" s="35"/>
      <c r="KRW224" s="35"/>
      <c r="KRX224" s="35"/>
      <c r="KRY224" s="35"/>
      <c r="KRZ224" s="35"/>
      <c r="KSA224" s="34"/>
      <c r="KSB224" s="34"/>
      <c r="KSC224" s="36"/>
      <c r="KSD224" s="36"/>
      <c r="KSE224" s="37"/>
      <c r="KSF224" s="37"/>
      <c r="KSG224" s="38"/>
      <c r="KSH224" s="38"/>
      <c r="KSI224" s="39"/>
      <c r="KSJ224" s="34"/>
      <c r="KSK224" s="34"/>
      <c r="KSL224" s="34"/>
      <c r="KSM224" s="35"/>
      <c r="KSN224" s="35"/>
      <c r="KSO224" s="35"/>
      <c r="KSP224" s="35"/>
      <c r="KSQ224" s="35"/>
      <c r="KSR224" s="34"/>
      <c r="KSS224" s="34"/>
      <c r="KST224" s="36"/>
      <c r="KSU224" s="36"/>
      <c r="KSV224" s="37"/>
      <c r="KSW224" s="37"/>
      <c r="KSX224" s="38"/>
      <c r="KSY224" s="38"/>
      <c r="KSZ224" s="39"/>
      <c r="KTA224" s="34"/>
      <c r="KTB224" s="34"/>
      <c r="KTC224" s="34"/>
      <c r="KTD224" s="35"/>
      <c r="KTE224" s="35"/>
      <c r="KTF224" s="35"/>
      <c r="KTG224" s="35"/>
      <c r="KTH224" s="35"/>
      <c r="KTI224" s="34"/>
      <c r="KTJ224" s="34"/>
      <c r="KTK224" s="36"/>
      <c r="KTL224" s="36"/>
      <c r="KTM224" s="37"/>
      <c r="KTN224" s="37"/>
      <c r="KTO224" s="38"/>
      <c r="KTP224" s="38"/>
      <c r="KTQ224" s="39"/>
      <c r="KTR224" s="34"/>
      <c r="KTS224" s="34"/>
      <c r="KTT224" s="34"/>
      <c r="KTU224" s="35"/>
      <c r="KTV224" s="35"/>
      <c r="KTW224" s="35"/>
      <c r="KTX224" s="35"/>
      <c r="KTY224" s="35"/>
      <c r="KTZ224" s="34"/>
      <c r="KUA224" s="34"/>
      <c r="KUB224" s="36"/>
      <c r="KUC224" s="36"/>
      <c r="KUD224" s="37"/>
      <c r="KUE224" s="37"/>
      <c r="KUF224" s="38"/>
      <c r="KUG224" s="38"/>
      <c r="KUH224" s="39"/>
      <c r="KUI224" s="34"/>
      <c r="KUJ224" s="34"/>
      <c r="KUK224" s="34"/>
      <c r="KUL224" s="35"/>
      <c r="KUM224" s="35"/>
      <c r="KUN224" s="35"/>
      <c r="KUO224" s="35"/>
      <c r="KUP224" s="35"/>
      <c r="KUQ224" s="34"/>
      <c r="KUR224" s="34"/>
      <c r="KUS224" s="36"/>
      <c r="KUT224" s="36"/>
      <c r="KUU224" s="37"/>
      <c r="KUV224" s="37"/>
      <c r="KUW224" s="38"/>
      <c r="KUX224" s="38"/>
      <c r="KUY224" s="39"/>
      <c r="KUZ224" s="34"/>
      <c r="KVA224" s="34"/>
      <c r="KVB224" s="34"/>
      <c r="KVC224" s="35"/>
      <c r="KVD224" s="35"/>
      <c r="KVE224" s="35"/>
      <c r="KVF224" s="35"/>
      <c r="KVG224" s="35"/>
      <c r="KVH224" s="34"/>
      <c r="KVI224" s="34"/>
      <c r="KVJ224" s="36"/>
      <c r="KVK224" s="36"/>
      <c r="KVL224" s="37"/>
      <c r="KVM224" s="37"/>
      <c r="KVN224" s="38"/>
      <c r="KVO224" s="38"/>
      <c r="KVP224" s="39"/>
      <c r="KVQ224" s="34"/>
      <c r="KVR224" s="34"/>
      <c r="KVS224" s="34"/>
      <c r="KVT224" s="35"/>
      <c r="KVU224" s="35"/>
      <c r="KVV224" s="35"/>
      <c r="KVW224" s="35"/>
      <c r="KVX224" s="35"/>
      <c r="KVY224" s="34"/>
      <c r="KVZ224" s="34"/>
      <c r="KWA224" s="36"/>
      <c r="KWB224" s="36"/>
      <c r="KWC224" s="37"/>
      <c r="KWD224" s="37"/>
      <c r="KWE224" s="38"/>
      <c r="KWF224" s="38"/>
      <c r="KWG224" s="39"/>
      <c r="KWH224" s="34"/>
      <c r="KWI224" s="34"/>
      <c r="KWJ224" s="34"/>
      <c r="KWK224" s="35"/>
      <c r="KWL224" s="35"/>
      <c r="KWM224" s="35"/>
      <c r="KWN224" s="35"/>
      <c r="KWO224" s="35"/>
      <c r="KWP224" s="34"/>
      <c r="KWQ224" s="34"/>
      <c r="KWR224" s="36"/>
      <c r="KWS224" s="36"/>
      <c r="KWT224" s="37"/>
      <c r="KWU224" s="37"/>
      <c r="KWV224" s="38"/>
      <c r="KWW224" s="38"/>
      <c r="KWX224" s="39"/>
      <c r="KWY224" s="34"/>
      <c r="KWZ224" s="34"/>
      <c r="KXA224" s="34"/>
      <c r="KXB224" s="35"/>
      <c r="KXC224" s="35"/>
      <c r="KXD224" s="35"/>
      <c r="KXE224" s="35"/>
      <c r="KXF224" s="35"/>
      <c r="KXG224" s="34"/>
      <c r="KXH224" s="34"/>
      <c r="KXI224" s="36"/>
      <c r="KXJ224" s="36"/>
      <c r="KXK224" s="37"/>
      <c r="KXL224" s="37"/>
      <c r="KXM224" s="38"/>
      <c r="KXN224" s="38"/>
      <c r="KXO224" s="39"/>
      <c r="KXP224" s="34"/>
      <c r="KXQ224" s="34"/>
      <c r="KXR224" s="34"/>
      <c r="KXS224" s="35"/>
      <c r="KXT224" s="35"/>
      <c r="KXU224" s="35"/>
      <c r="KXV224" s="35"/>
      <c r="KXW224" s="35"/>
      <c r="KXX224" s="34"/>
      <c r="KXY224" s="34"/>
      <c r="KXZ224" s="36"/>
      <c r="KYA224" s="36"/>
      <c r="KYB224" s="37"/>
      <c r="KYC224" s="37"/>
      <c r="KYD224" s="38"/>
      <c r="KYE224" s="38"/>
      <c r="KYF224" s="39"/>
      <c r="KYG224" s="34"/>
      <c r="KYH224" s="34"/>
      <c r="KYI224" s="34"/>
      <c r="KYJ224" s="35"/>
      <c r="KYK224" s="35"/>
      <c r="KYL224" s="35"/>
      <c r="KYM224" s="35"/>
      <c r="KYN224" s="35"/>
      <c r="KYO224" s="34"/>
      <c r="KYP224" s="34"/>
      <c r="KYQ224" s="36"/>
      <c r="KYR224" s="36"/>
      <c r="KYS224" s="37"/>
      <c r="KYT224" s="37"/>
      <c r="KYU224" s="38"/>
      <c r="KYV224" s="38"/>
      <c r="KYW224" s="39"/>
      <c r="KYX224" s="34"/>
      <c r="KYY224" s="34"/>
      <c r="KYZ224" s="34"/>
      <c r="KZA224" s="35"/>
      <c r="KZB224" s="35"/>
      <c r="KZC224" s="35"/>
      <c r="KZD224" s="35"/>
      <c r="KZE224" s="35"/>
      <c r="KZF224" s="34"/>
      <c r="KZG224" s="34"/>
      <c r="KZH224" s="36"/>
      <c r="KZI224" s="36"/>
      <c r="KZJ224" s="37"/>
      <c r="KZK224" s="37"/>
      <c r="KZL224" s="38"/>
      <c r="KZM224" s="38"/>
      <c r="KZN224" s="39"/>
      <c r="KZO224" s="34"/>
      <c r="KZP224" s="34"/>
      <c r="KZQ224" s="34"/>
      <c r="KZR224" s="35"/>
      <c r="KZS224" s="35"/>
      <c r="KZT224" s="35"/>
      <c r="KZU224" s="35"/>
      <c r="KZV224" s="35"/>
      <c r="KZW224" s="34"/>
      <c r="KZX224" s="34"/>
      <c r="KZY224" s="36"/>
      <c r="KZZ224" s="36"/>
      <c r="LAA224" s="37"/>
      <c r="LAB224" s="37"/>
      <c r="LAC224" s="38"/>
      <c r="LAD224" s="38"/>
      <c r="LAE224" s="39"/>
      <c r="LAF224" s="34"/>
      <c r="LAG224" s="34"/>
      <c r="LAH224" s="34"/>
      <c r="LAI224" s="35"/>
      <c r="LAJ224" s="35"/>
      <c r="LAK224" s="35"/>
      <c r="LAL224" s="35"/>
      <c r="LAM224" s="35"/>
      <c r="LAN224" s="34"/>
      <c r="LAO224" s="34"/>
      <c r="LAP224" s="36"/>
      <c r="LAQ224" s="36"/>
      <c r="LAR224" s="37"/>
      <c r="LAS224" s="37"/>
      <c r="LAT224" s="38"/>
      <c r="LAU224" s="38"/>
      <c r="LAV224" s="39"/>
      <c r="LAW224" s="34"/>
      <c r="LAX224" s="34"/>
      <c r="LAY224" s="34"/>
      <c r="LAZ224" s="35"/>
      <c r="LBA224" s="35"/>
      <c r="LBB224" s="35"/>
      <c r="LBC224" s="35"/>
      <c r="LBD224" s="35"/>
      <c r="LBE224" s="34"/>
      <c r="LBF224" s="34"/>
      <c r="LBG224" s="36"/>
      <c r="LBH224" s="36"/>
      <c r="LBI224" s="37"/>
      <c r="LBJ224" s="37"/>
      <c r="LBK224" s="38"/>
      <c r="LBL224" s="38"/>
      <c r="LBM224" s="39"/>
      <c r="LBN224" s="34"/>
      <c r="LBO224" s="34"/>
      <c r="LBP224" s="34"/>
      <c r="LBQ224" s="35"/>
      <c r="LBR224" s="35"/>
      <c r="LBS224" s="35"/>
      <c r="LBT224" s="35"/>
      <c r="LBU224" s="35"/>
      <c r="LBV224" s="34"/>
      <c r="LBW224" s="34"/>
      <c r="LBX224" s="36"/>
      <c r="LBY224" s="36"/>
      <c r="LBZ224" s="37"/>
      <c r="LCA224" s="37"/>
      <c r="LCB224" s="38"/>
      <c r="LCC224" s="38"/>
      <c r="LCD224" s="39"/>
      <c r="LCE224" s="34"/>
      <c r="LCF224" s="34"/>
      <c r="LCG224" s="34"/>
      <c r="LCH224" s="35"/>
      <c r="LCI224" s="35"/>
      <c r="LCJ224" s="35"/>
      <c r="LCK224" s="35"/>
      <c r="LCL224" s="35"/>
      <c r="LCM224" s="34"/>
      <c r="LCN224" s="34"/>
      <c r="LCO224" s="36"/>
      <c r="LCP224" s="36"/>
      <c r="LCQ224" s="37"/>
      <c r="LCR224" s="37"/>
      <c r="LCS224" s="38"/>
      <c r="LCT224" s="38"/>
      <c r="LCU224" s="39"/>
      <c r="LCV224" s="34"/>
      <c r="LCW224" s="34"/>
      <c r="LCX224" s="34"/>
      <c r="LCY224" s="35"/>
      <c r="LCZ224" s="35"/>
      <c r="LDA224" s="35"/>
      <c r="LDB224" s="35"/>
      <c r="LDC224" s="35"/>
      <c r="LDD224" s="34"/>
      <c r="LDE224" s="34"/>
      <c r="LDF224" s="36"/>
      <c r="LDG224" s="36"/>
      <c r="LDH224" s="37"/>
      <c r="LDI224" s="37"/>
      <c r="LDJ224" s="38"/>
      <c r="LDK224" s="38"/>
      <c r="LDL224" s="39"/>
      <c r="LDM224" s="34"/>
      <c r="LDN224" s="34"/>
      <c r="LDO224" s="34"/>
      <c r="LDP224" s="35"/>
      <c r="LDQ224" s="35"/>
      <c r="LDR224" s="35"/>
      <c r="LDS224" s="35"/>
      <c r="LDT224" s="35"/>
      <c r="LDU224" s="34"/>
      <c r="LDV224" s="34"/>
      <c r="LDW224" s="36"/>
      <c r="LDX224" s="36"/>
      <c r="LDY224" s="37"/>
      <c r="LDZ224" s="37"/>
      <c r="LEA224" s="38"/>
      <c r="LEB224" s="38"/>
      <c r="LEC224" s="39"/>
      <c r="LED224" s="34"/>
      <c r="LEE224" s="34"/>
      <c r="LEF224" s="34"/>
      <c r="LEG224" s="35"/>
      <c r="LEH224" s="35"/>
      <c r="LEI224" s="35"/>
      <c r="LEJ224" s="35"/>
      <c r="LEK224" s="35"/>
      <c r="LEL224" s="34"/>
      <c r="LEM224" s="34"/>
      <c r="LEN224" s="36"/>
      <c r="LEO224" s="36"/>
      <c r="LEP224" s="37"/>
      <c r="LEQ224" s="37"/>
      <c r="LER224" s="38"/>
      <c r="LES224" s="38"/>
      <c r="LET224" s="39"/>
      <c r="LEU224" s="34"/>
      <c r="LEV224" s="34"/>
      <c r="LEW224" s="34"/>
      <c r="LEX224" s="35"/>
      <c r="LEY224" s="35"/>
      <c r="LEZ224" s="35"/>
      <c r="LFA224" s="35"/>
      <c r="LFB224" s="35"/>
      <c r="LFC224" s="34"/>
      <c r="LFD224" s="34"/>
      <c r="LFE224" s="36"/>
      <c r="LFF224" s="36"/>
      <c r="LFG224" s="37"/>
      <c r="LFH224" s="37"/>
      <c r="LFI224" s="38"/>
      <c r="LFJ224" s="38"/>
      <c r="LFK224" s="39"/>
      <c r="LFL224" s="34"/>
      <c r="LFM224" s="34"/>
      <c r="LFN224" s="34"/>
      <c r="LFO224" s="35"/>
      <c r="LFP224" s="35"/>
      <c r="LFQ224" s="35"/>
      <c r="LFR224" s="35"/>
      <c r="LFS224" s="35"/>
      <c r="LFT224" s="34"/>
      <c r="LFU224" s="34"/>
      <c r="LFV224" s="36"/>
      <c r="LFW224" s="36"/>
      <c r="LFX224" s="37"/>
      <c r="LFY224" s="37"/>
      <c r="LFZ224" s="38"/>
      <c r="LGA224" s="38"/>
      <c r="LGB224" s="39"/>
      <c r="LGC224" s="34"/>
      <c r="LGD224" s="34"/>
      <c r="LGE224" s="34"/>
      <c r="LGF224" s="35"/>
      <c r="LGG224" s="35"/>
      <c r="LGH224" s="35"/>
      <c r="LGI224" s="35"/>
      <c r="LGJ224" s="35"/>
      <c r="LGK224" s="34"/>
      <c r="LGL224" s="34"/>
      <c r="LGM224" s="36"/>
      <c r="LGN224" s="36"/>
      <c r="LGO224" s="37"/>
      <c r="LGP224" s="37"/>
      <c r="LGQ224" s="38"/>
      <c r="LGR224" s="38"/>
      <c r="LGS224" s="39"/>
      <c r="LGT224" s="34"/>
      <c r="LGU224" s="34"/>
      <c r="LGV224" s="34"/>
      <c r="LGW224" s="35"/>
      <c r="LGX224" s="35"/>
      <c r="LGY224" s="35"/>
      <c r="LGZ224" s="35"/>
      <c r="LHA224" s="35"/>
      <c r="LHB224" s="34"/>
      <c r="LHC224" s="34"/>
      <c r="LHD224" s="36"/>
      <c r="LHE224" s="36"/>
      <c r="LHF224" s="37"/>
      <c r="LHG224" s="37"/>
      <c r="LHH224" s="38"/>
      <c r="LHI224" s="38"/>
      <c r="LHJ224" s="39"/>
      <c r="LHK224" s="34"/>
      <c r="LHL224" s="34"/>
      <c r="LHM224" s="34"/>
      <c r="LHN224" s="35"/>
      <c r="LHO224" s="35"/>
      <c r="LHP224" s="35"/>
      <c r="LHQ224" s="35"/>
      <c r="LHR224" s="35"/>
      <c r="LHS224" s="34"/>
      <c r="LHT224" s="34"/>
      <c r="LHU224" s="36"/>
      <c r="LHV224" s="36"/>
      <c r="LHW224" s="37"/>
      <c r="LHX224" s="37"/>
      <c r="LHY224" s="38"/>
      <c r="LHZ224" s="38"/>
      <c r="LIA224" s="39"/>
      <c r="LIB224" s="34"/>
      <c r="LIC224" s="34"/>
      <c r="LID224" s="34"/>
      <c r="LIE224" s="35"/>
      <c r="LIF224" s="35"/>
      <c r="LIG224" s="35"/>
      <c r="LIH224" s="35"/>
      <c r="LII224" s="35"/>
      <c r="LIJ224" s="34"/>
      <c r="LIK224" s="34"/>
      <c r="LIL224" s="36"/>
      <c r="LIM224" s="36"/>
      <c r="LIN224" s="37"/>
      <c r="LIO224" s="37"/>
      <c r="LIP224" s="38"/>
      <c r="LIQ224" s="38"/>
      <c r="LIR224" s="39"/>
      <c r="LIS224" s="34"/>
      <c r="LIT224" s="34"/>
      <c r="LIU224" s="34"/>
      <c r="LIV224" s="35"/>
      <c r="LIW224" s="35"/>
      <c r="LIX224" s="35"/>
      <c r="LIY224" s="35"/>
      <c r="LIZ224" s="35"/>
      <c r="LJA224" s="34"/>
      <c r="LJB224" s="34"/>
      <c r="LJC224" s="36"/>
      <c r="LJD224" s="36"/>
      <c r="LJE224" s="37"/>
      <c r="LJF224" s="37"/>
      <c r="LJG224" s="38"/>
      <c r="LJH224" s="38"/>
      <c r="LJI224" s="39"/>
      <c r="LJJ224" s="34"/>
      <c r="LJK224" s="34"/>
      <c r="LJL224" s="34"/>
      <c r="LJM224" s="35"/>
      <c r="LJN224" s="35"/>
      <c r="LJO224" s="35"/>
      <c r="LJP224" s="35"/>
      <c r="LJQ224" s="35"/>
      <c r="LJR224" s="34"/>
      <c r="LJS224" s="34"/>
      <c r="LJT224" s="36"/>
      <c r="LJU224" s="36"/>
      <c r="LJV224" s="37"/>
      <c r="LJW224" s="37"/>
      <c r="LJX224" s="38"/>
      <c r="LJY224" s="38"/>
      <c r="LJZ224" s="39"/>
      <c r="LKA224" s="34"/>
      <c r="LKB224" s="34"/>
      <c r="LKC224" s="34"/>
      <c r="LKD224" s="35"/>
      <c r="LKE224" s="35"/>
      <c r="LKF224" s="35"/>
      <c r="LKG224" s="35"/>
      <c r="LKH224" s="35"/>
      <c r="LKI224" s="34"/>
      <c r="LKJ224" s="34"/>
      <c r="LKK224" s="36"/>
      <c r="LKL224" s="36"/>
      <c r="LKM224" s="37"/>
      <c r="LKN224" s="37"/>
      <c r="LKO224" s="38"/>
      <c r="LKP224" s="38"/>
      <c r="LKQ224" s="39"/>
      <c r="LKR224" s="34"/>
      <c r="LKS224" s="34"/>
      <c r="LKT224" s="34"/>
      <c r="LKU224" s="35"/>
      <c r="LKV224" s="35"/>
      <c r="LKW224" s="35"/>
      <c r="LKX224" s="35"/>
      <c r="LKY224" s="35"/>
      <c r="LKZ224" s="34"/>
      <c r="LLA224" s="34"/>
      <c r="LLB224" s="36"/>
      <c r="LLC224" s="36"/>
      <c r="LLD224" s="37"/>
      <c r="LLE224" s="37"/>
      <c r="LLF224" s="38"/>
      <c r="LLG224" s="38"/>
      <c r="LLH224" s="39"/>
      <c r="LLI224" s="34"/>
      <c r="LLJ224" s="34"/>
      <c r="LLK224" s="34"/>
      <c r="LLL224" s="35"/>
      <c r="LLM224" s="35"/>
      <c r="LLN224" s="35"/>
      <c r="LLO224" s="35"/>
      <c r="LLP224" s="35"/>
      <c r="LLQ224" s="34"/>
      <c r="LLR224" s="34"/>
      <c r="LLS224" s="36"/>
      <c r="LLT224" s="36"/>
      <c r="LLU224" s="37"/>
      <c r="LLV224" s="37"/>
      <c r="LLW224" s="38"/>
      <c r="LLX224" s="38"/>
      <c r="LLY224" s="39"/>
      <c r="LLZ224" s="34"/>
      <c r="LMA224" s="34"/>
      <c r="LMB224" s="34"/>
      <c r="LMC224" s="35"/>
      <c r="LMD224" s="35"/>
      <c r="LME224" s="35"/>
      <c r="LMF224" s="35"/>
      <c r="LMG224" s="35"/>
      <c r="LMH224" s="34"/>
      <c r="LMI224" s="34"/>
      <c r="LMJ224" s="36"/>
      <c r="LMK224" s="36"/>
      <c r="LML224" s="37"/>
      <c r="LMM224" s="37"/>
      <c r="LMN224" s="38"/>
      <c r="LMO224" s="38"/>
      <c r="LMP224" s="39"/>
      <c r="LMQ224" s="34"/>
      <c r="LMR224" s="34"/>
      <c r="LMS224" s="34"/>
      <c r="LMT224" s="35"/>
      <c r="LMU224" s="35"/>
      <c r="LMV224" s="35"/>
      <c r="LMW224" s="35"/>
      <c r="LMX224" s="35"/>
      <c r="LMY224" s="34"/>
      <c r="LMZ224" s="34"/>
      <c r="LNA224" s="36"/>
      <c r="LNB224" s="36"/>
      <c r="LNC224" s="37"/>
      <c r="LND224" s="37"/>
      <c r="LNE224" s="38"/>
      <c r="LNF224" s="38"/>
      <c r="LNG224" s="39"/>
      <c r="LNH224" s="34"/>
      <c r="LNI224" s="34"/>
      <c r="LNJ224" s="34"/>
      <c r="LNK224" s="35"/>
      <c r="LNL224" s="35"/>
      <c r="LNM224" s="35"/>
      <c r="LNN224" s="35"/>
      <c r="LNO224" s="35"/>
      <c r="LNP224" s="34"/>
      <c r="LNQ224" s="34"/>
      <c r="LNR224" s="36"/>
      <c r="LNS224" s="36"/>
      <c r="LNT224" s="37"/>
      <c r="LNU224" s="37"/>
      <c r="LNV224" s="38"/>
      <c r="LNW224" s="38"/>
      <c r="LNX224" s="39"/>
      <c r="LNY224" s="34"/>
      <c r="LNZ224" s="34"/>
      <c r="LOA224" s="34"/>
      <c r="LOB224" s="35"/>
      <c r="LOC224" s="35"/>
      <c r="LOD224" s="35"/>
      <c r="LOE224" s="35"/>
      <c r="LOF224" s="35"/>
      <c r="LOG224" s="34"/>
      <c r="LOH224" s="34"/>
      <c r="LOI224" s="36"/>
      <c r="LOJ224" s="36"/>
      <c r="LOK224" s="37"/>
      <c r="LOL224" s="37"/>
      <c r="LOM224" s="38"/>
      <c r="LON224" s="38"/>
      <c r="LOO224" s="39"/>
      <c r="LOP224" s="34"/>
      <c r="LOQ224" s="34"/>
      <c r="LOR224" s="34"/>
      <c r="LOS224" s="35"/>
      <c r="LOT224" s="35"/>
      <c r="LOU224" s="35"/>
      <c r="LOV224" s="35"/>
      <c r="LOW224" s="35"/>
      <c r="LOX224" s="34"/>
      <c r="LOY224" s="34"/>
      <c r="LOZ224" s="36"/>
      <c r="LPA224" s="36"/>
      <c r="LPB224" s="37"/>
      <c r="LPC224" s="37"/>
      <c r="LPD224" s="38"/>
      <c r="LPE224" s="38"/>
      <c r="LPF224" s="39"/>
      <c r="LPG224" s="34"/>
      <c r="LPH224" s="34"/>
      <c r="LPI224" s="34"/>
      <c r="LPJ224" s="35"/>
      <c r="LPK224" s="35"/>
      <c r="LPL224" s="35"/>
      <c r="LPM224" s="35"/>
      <c r="LPN224" s="35"/>
      <c r="LPO224" s="34"/>
      <c r="LPP224" s="34"/>
      <c r="LPQ224" s="36"/>
      <c r="LPR224" s="36"/>
      <c r="LPS224" s="37"/>
      <c r="LPT224" s="37"/>
      <c r="LPU224" s="38"/>
      <c r="LPV224" s="38"/>
      <c r="LPW224" s="39"/>
      <c r="LPX224" s="34"/>
      <c r="LPY224" s="34"/>
      <c r="LPZ224" s="34"/>
      <c r="LQA224" s="35"/>
      <c r="LQB224" s="35"/>
      <c r="LQC224" s="35"/>
      <c r="LQD224" s="35"/>
      <c r="LQE224" s="35"/>
      <c r="LQF224" s="34"/>
      <c r="LQG224" s="34"/>
      <c r="LQH224" s="36"/>
      <c r="LQI224" s="36"/>
      <c r="LQJ224" s="37"/>
      <c r="LQK224" s="37"/>
      <c r="LQL224" s="38"/>
      <c r="LQM224" s="38"/>
      <c r="LQN224" s="39"/>
      <c r="LQO224" s="34"/>
      <c r="LQP224" s="34"/>
      <c r="LQQ224" s="34"/>
      <c r="LQR224" s="35"/>
      <c r="LQS224" s="35"/>
      <c r="LQT224" s="35"/>
      <c r="LQU224" s="35"/>
      <c r="LQV224" s="35"/>
      <c r="LQW224" s="34"/>
      <c r="LQX224" s="34"/>
      <c r="LQY224" s="36"/>
      <c r="LQZ224" s="36"/>
      <c r="LRA224" s="37"/>
      <c r="LRB224" s="37"/>
      <c r="LRC224" s="38"/>
      <c r="LRD224" s="38"/>
      <c r="LRE224" s="39"/>
      <c r="LRF224" s="34"/>
      <c r="LRG224" s="34"/>
      <c r="LRH224" s="34"/>
      <c r="LRI224" s="35"/>
      <c r="LRJ224" s="35"/>
      <c r="LRK224" s="35"/>
      <c r="LRL224" s="35"/>
      <c r="LRM224" s="35"/>
      <c r="LRN224" s="34"/>
      <c r="LRO224" s="34"/>
      <c r="LRP224" s="36"/>
      <c r="LRQ224" s="36"/>
      <c r="LRR224" s="37"/>
      <c r="LRS224" s="37"/>
      <c r="LRT224" s="38"/>
      <c r="LRU224" s="38"/>
      <c r="LRV224" s="39"/>
      <c r="LRW224" s="34"/>
      <c r="LRX224" s="34"/>
      <c r="LRY224" s="34"/>
      <c r="LRZ224" s="35"/>
      <c r="LSA224" s="35"/>
      <c r="LSB224" s="35"/>
      <c r="LSC224" s="35"/>
      <c r="LSD224" s="35"/>
      <c r="LSE224" s="34"/>
      <c r="LSF224" s="34"/>
      <c r="LSG224" s="36"/>
      <c r="LSH224" s="36"/>
      <c r="LSI224" s="37"/>
      <c r="LSJ224" s="37"/>
      <c r="LSK224" s="38"/>
      <c r="LSL224" s="38"/>
      <c r="LSM224" s="39"/>
      <c r="LSN224" s="34"/>
      <c r="LSO224" s="34"/>
      <c r="LSP224" s="34"/>
      <c r="LSQ224" s="35"/>
      <c r="LSR224" s="35"/>
      <c r="LSS224" s="35"/>
      <c r="LST224" s="35"/>
      <c r="LSU224" s="35"/>
      <c r="LSV224" s="34"/>
      <c r="LSW224" s="34"/>
      <c r="LSX224" s="36"/>
      <c r="LSY224" s="36"/>
      <c r="LSZ224" s="37"/>
      <c r="LTA224" s="37"/>
      <c r="LTB224" s="38"/>
      <c r="LTC224" s="38"/>
      <c r="LTD224" s="39"/>
      <c r="LTE224" s="34"/>
      <c r="LTF224" s="34"/>
      <c r="LTG224" s="34"/>
      <c r="LTH224" s="35"/>
      <c r="LTI224" s="35"/>
      <c r="LTJ224" s="35"/>
      <c r="LTK224" s="35"/>
      <c r="LTL224" s="35"/>
      <c r="LTM224" s="34"/>
      <c r="LTN224" s="34"/>
      <c r="LTO224" s="36"/>
      <c r="LTP224" s="36"/>
      <c r="LTQ224" s="37"/>
      <c r="LTR224" s="37"/>
      <c r="LTS224" s="38"/>
      <c r="LTT224" s="38"/>
      <c r="LTU224" s="39"/>
      <c r="LTV224" s="34"/>
      <c r="LTW224" s="34"/>
      <c r="LTX224" s="34"/>
      <c r="LTY224" s="35"/>
      <c r="LTZ224" s="35"/>
      <c r="LUA224" s="35"/>
      <c r="LUB224" s="35"/>
      <c r="LUC224" s="35"/>
      <c r="LUD224" s="34"/>
      <c r="LUE224" s="34"/>
      <c r="LUF224" s="36"/>
      <c r="LUG224" s="36"/>
      <c r="LUH224" s="37"/>
      <c r="LUI224" s="37"/>
      <c r="LUJ224" s="38"/>
      <c r="LUK224" s="38"/>
      <c r="LUL224" s="39"/>
      <c r="LUM224" s="34"/>
      <c r="LUN224" s="34"/>
      <c r="LUO224" s="34"/>
      <c r="LUP224" s="35"/>
      <c r="LUQ224" s="35"/>
      <c r="LUR224" s="35"/>
      <c r="LUS224" s="35"/>
      <c r="LUT224" s="35"/>
      <c r="LUU224" s="34"/>
      <c r="LUV224" s="34"/>
      <c r="LUW224" s="36"/>
      <c r="LUX224" s="36"/>
      <c r="LUY224" s="37"/>
      <c r="LUZ224" s="37"/>
      <c r="LVA224" s="38"/>
      <c r="LVB224" s="38"/>
      <c r="LVC224" s="39"/>
      <c r="LVD224" s="34"/>
      <c r="LVE224" s="34"/>
      <c r="LVF224" s="34"/>
      <c r="LVG224" s="35"/>
      <c r="LVH224" s="35"/>
      <c r="LVI224" s="35"/>
      <c r="LVJ224" s="35"/>
      <c r="LVK224" s="35"/>
      <c r="LVL224" s="34"/>
      <c r="LVM224" s="34"/>
      <c r="LVN224" s="36"/>
      <c r="LVO224" s="36"/>
      <c r="LVP224" s="37"/>
      <c r="LVQ224" s="37"/>
      <c r="LVR224" s="38"/>
      <c r="LVS224" s="38"/>
      <c r="LVT224" s="39"/>
      <c r="LVU224" s="34"/>
      <c r="LVV224" s="34"/>
      <c r="LVW224" s="34"/>
      <c r="LVX224" s="35"/>
      <c r="LVY224" s="35"/>
      <c r="LVZ224" s="35"/>
      <c r="LWA224" s="35"/>
      <c r="LWB224" s="35"/>
      <c r="LWC224" s="34"/>
      <c r="LWD224" s="34"/>
      <c r="LWE224" s="36"/>
      <c r="LWF224" s="36"/>
      <c r="LWG224" s="37"/>
      <c r="LWH224" s="37"/>
      <c r="LWI224" s="38"/>
      <c r="LWJ224" s="38"/>
      <c r="LWK224" s="39"/>
      <c r="LWL224" s="34"/>
      <c r="LWM224" s="34"/>
      <c r="LWN224" s="34"/>
      <c r="LWO224" s="35"/>
      <c r="LWP224" s="35"/>
      <c r="LWQ224" s="35"/>
      <c r="LWR224" s="35"/>
      <c r="LWS224" s="35"/>
      <c r="LWT224" s="34"/>
      <c r="LWU224" s="34"/>
      <c r="LWV224" s="36"/>
      <c r="LWW224" s="36"/>
      <c r="LWX224" s="37"/>
      <c r="LWY224" s="37"/>
      <c r="LWZ224" s="38"/>
      <c r="LXA224" s="38"/>
      <c r="LXB224" s="39"/>
      <c r="LXC224" s="34"/>
      <c r="LXD224" s="34"/>
      <c r="LXE224" s="34"/>
      <c r="LXF224" s="35"/>
      <c r="LXG224" s="35"/>
      <c r="LXH224" s="35"/>
      <c r="LXI224" s="35"/>
      <c r="LXJ224" s="35"/>
      <c r="LXK224" s="34"/>
      <c r="LXL224" s="34"/>
      <c r="LXM224" s="36"/>
      <c r="LXN224" s="36"/>
      <c r="LXO224" s="37"/>
      <c r="LXP224" s="37"/>
      <c r="LXQ224" s="38"/>
      <c r="LXR224" s="38"/>
      <c r="LXS224" s="39"/>
      <c r="LXT224" s="34"/>
      <c r="LXU224" s="34"/>
      <c r="LXV224" s="34"/>
      <c r="LXW224" s="35"/>
      <c r="LXX224" s="35"/>
      <c r="LXY224" s="35"/>
      <c r="LXZ224" s="35"/>
      <c r="LYA224" s="35"/>
      <c r="LYB224" s="34"/>
      <c r="LYC224" s="34"/>
      <c r="LYD224" s="36"/>
      <c r="LYE224" s="36"/>
      <c r="LYF224" s="37"/>
      <c r="LYG224" s="37"/>
      <c r="LYH224" s="38"/>
      <c r="LYI224" s="38"/>
      <c r="LYJ224" s="39"/>
      <c r="LYK224" s="34"/>
      <c r="LYL224" s="34"/>
      <c r="LYM224" s="34"/>
      <c r="LYN224" s="35"/>
      <c r="LYO224" s="35"/>
      <c r="LYP224" s="35"/>
      <c r="LYQ224" s="35"/>
      <c r="LYR224" s="35"/>
      <c r="LYS224" s="34"/>
      <c r="LYT224" s="34"/>
      <c r="LYU224" s="36"/>
      <c r="LYV224" s="36"/>
      <c r="LYW224" s="37"/>
      <c r="LYX224" s="37"/>
      <c r="LYY224" s="38"/>
      <c r="LYZ224" s="38"/>
      <c r="LZA224" s="39"/>
      <c r="LZB224" s="34"/>
      <c r="LZC224" s="34"/>
      <c r="LZD224" s="34"/>
      <c r="LZE224" s="35"/>
      <c r="LZF224" s="35"/>
      <c r="LZG224" s="35"/>
      <c r="LZH224" s="35"/>
      <c r="LZI224" s="35"/>
      <c r="LZJ224" s="34"/>
      <c r="LZK224" s="34"/>
      <c r="LZL224" s="36"/>
      <c r="LZM224" s="36"/>
      <c r="LZN224" s="37"/>
      <c r="LZO224" s="37"/>
      <c r="LZP224" s="38"/>
      <c r="LZQ224" s="38"/>
      <c r="LZR224" s="39"/>
      <c r="LZS224" s="34"/>
      <c r="LZT224" s="34"/>
      <c r="LZU224" s="34"/>
      <c r="LZV224" s="35"/>
      <c r="LZW224" s="35"/>
      <c r="LZX224" s="35"/>
      <c r="LZY224" s="35"/>
      <c r="LZZ224" s="35"/>
      <c r="MAA224" s="34"/>
      <c r="MAB224" s="34"/>
      <c r="MAC224" s="36"/>
      <c r="MAD224" s="36"/>
      <c r="MAE224" s="37"/>
      <c r="MAF224" s="37"/>
      <c r="MAG224" s="38"/>
      <c r="MAH224" s="38"/>
      <c r="MAI224" s="39"/>
      <c r="MAJ224" s="34"/>
      <c r="MAK224" s="34"/>
      <c r="MAL224" s="34"/>
      <c r="MAM224" s="35"/>
      <c r="MAN224" s="35"/>
      <c r="MAO224" s="35"/>
      <c r="MAP224" s="35"/>
      <c r="MAQ224" s="35"/>
      <c r="MAR224" s="34"/>
      <c r="MAS224" s="34"/>
      <c r="MAT224" s="36"/>
      <c r="MAU224" s="36"/>
      <c r="MAV224" s="37"/>
      <c r="MAW224" s="37"/>
      <c r="MAX224" s="38"/>
      <c r="MAY224" s="38"/>
      <c r="MAZ224" s="39"/>
      <c r="MBA224" s="34"/>
      <c r="MBB224" s="34"/>
      <c r="MBC224" s="34"/>
      <c r="MBD224" s="35"/>
      <c r="MBE224" s="35"/>
      <c r="MBF224" s="35"/>
      <c r="MBG224" s="35"/>
      <c r="MBH224" s="35"/>
      <c r="MBI224" s="34"/>
      <c r="MBJ224" s="34"/>
      <c r="MBK224" s="36"/>
      <c r="MBL224" s="36"/>
      <c r="MBM224" s="37"/>
      <c r="MBN224" s="37"/>
      <c r="MBO224" s="38"/>
      <c r="MBP224" s="38"/>
      <c r="MBQ224" s="39"/>
      <c r="MBR224" s="34"/>
      <c r="MBS224" s="34"/>
      <c r="MBT224" s="34"/>
      <c r="MBU224" s="35"/>
      <c r="MBV224" s="35"/>
      <c r="MBW224" s="35"/>
      <c r="MBX224" s="35"/>
      <c r="MBY224" s="35"/>
      <c r="MBZ224" s="34"/>
      <c r="MCA224" s="34"/>
      <c r="MCB224" s="36"/>
      <c r="MCC224" s="36"/>
      <c r="MCD224" s="37"/>
      <c r="MCE224" s="37"/>
      <c r="MCF224" s="38"/>
      <c r="MCG224" s="38"/>
      <c r="MCH224" s="39"/>
      <c r="MCI224" s="34"/>
      <c r="MCJ224" s="34"/>
      <c r="MCK224" s="34"/>
      <c r="MCL224" s="35"/>
      <c r="MCM224" s="35"/>
      <c r="MCN224" s="35"/>
      <c r="MCO224" s="35"/>
      <c r="MCP224" s="35"/>
      <c r="MCQ224" s="34"/>
      <c r="MCR224" s="34"/>
      <c r="MCS224" s="36"/>
      <c r="MCT224" s="36"/>
      <c r="MCU224" s="37"/>
      <c r="MCV224" s="37"/>
      <c r="MCW224" s="38"/>
      <c r="MCX224" s="38"/>
      <c r="MCY224" s="39"/>
      <c r="MCZ224" s="34"/>
      <c r="MDA224" s="34"/>
      <c r="MDB224" s="34"/>
      <c r="MDC224" s="35"/>
      <c r="MDD224" s="35"/>
      <c r="MDE224" s="35"/>
      <c r="MDF224" s="35"/>
      <c r="MDG224" s="35"/>
      <c r="MDH224" s="34"/>
      <c r="MDI224" s="34"/>
      <c r="MDJ224" s="36"/>
      <c r="MDK224" s="36"/>
      <c r="MDL224" s="37"/>
      <c r="MDM224" s="37"/>
      <c r="MDN224" s="38"/>
      <c r="MDO224" s="38"/>
      <c r="MDP224" s="39"/>
      <c r="MDQ224" s="34"/>
      <c r="MDR224" s="34"/>
      <c r="MDS224" s="34"/>
      <c r="MDT224" s="35"/>
      <c r="MDU224" s="35"/>
      <c r="MDV224" s="35"/>
      <c r="MDW224" s="35"/>
      <c r="MDX224" s="35"/>
      <c r="MDY224" s="34"/>
      <c r="MDZ224" s="34"/>
      <c r="MEA224" s="36"/>
      <c r="MEB224" s="36"/>
      <c r="MEC224" s="37"/>
      <c r="MED224" s="37"/>
      <c r="MEE224" s="38"/>
      <c r="MEF224" s="38"/>
      <c r="MEG224" s="39"/>
      <c r="MEH224" s="34"/>
      <c r="MEI224" s="34"/>
      <c r="MEJ224" s="34"/>
      <c r="MEK224" s="35"/>
      <c r="MEL224" s="35"/>
      <c r="MEM224" s="35"/>
      <c r="MEN224" s="35"/>
      <c r="MEO224" s="35"/>
      <c r="MEP224" s="34"/>
      <c r="MEQ224" s="34"/>
      <c r="MER224" s="36"/>
      <c r="MES224" s="36"/>
      <c r="MET224" s="37"/>
      <c r="MEU224" s="37"/>
      <c r="MEV224" s="38"/>
      <c r="MEW224" s="38"/>
      <c r="MEX224" s="39"/>
      <c r="MEY224" s="34"/>
      <c r="MEZ224" s="34"/>
      <c r="MFA224" s="34"/>
      <c r="MFB224" s="35"/>
      <c r="MFC224" s="35"/>
      <c r="MFD224" s="35"/>
      <c r="MFE224" s="35"/>
      <c r="MFF224" s="35"/>
      <c r="MFG224" s="34"/>
      <c r="MFH224" s="34"/>
      <c r="MFI224" s="36"/>
      <c r="MFJ224" s="36"/>
      <c r="MFK224" s="37"/>
      <c r="MFL224" s="37"/>
      <c r="MFM224" s="38"/>
      <c r="MFN224" s="38"/>
      <c r="MFO224" s="39"/>
      <c r="MFP224" s="34"/>
      <c r="MFQ224" s="34"/>
      <c r="MFR224" s="34"/>
      <c r="MFS224" s="35"/>
      <c r="MFT224" s="35"/>
      <c r="MFU224" s="35"/>
      <c r="MFV224" s="35"/>
      <c r="MFW224" s="35"/>
      <c r="MFX224" s="34"/>
      <c r="MFY224" s="34"/>
      <c r="MFZ224" s="36"/>
      <c r="MGA224" s="36"/>
      <c r="MGB224" s="37"/>
      <c r="MGC224" s="37"/>
      <c r="MGD224" s="38"/>
      <c r="MGE224" s="38"/>
      <c r="MGF224" s="39"/>
      <c r="MGG224" s="34"/>
      <c r="MGH224" s="34"/>
      <c r="MGI224" s="34"/>
      <c r="MGJ224" s="35"/>
      <c r="MGK224" s="35"/>
      <c r="MGL224" s="35"/>
      <c r="MGM224" s="35"/>
      <c r="MGN224" s="35"/>
      <c r="MGO224" s="34"/>
      <c r="MGP224" s="34"/>
      <c r="MGQ224" s="36"/>
      <c r="MGR224" s="36"/>
      <c r="MGS224" s="37"/>
      <c r="MGT224" s="37"/>
      <c r="MGU224" s="38"/>
      <c r="MGV224" s="38"/>
      <c r="MGW224" s="39"/>
      <c r="MGX224" s="34"/>
      <c r="MGY224" s="34"/>
      <c r="MGZ224" s="34"/>
      <c r="MHA224" s="35"/>
      <c r="MHB224" s="35"/>
      <c r="MHC224" s="35"/>
      <c r="MHD224" s="35"/>
      <c r="MHE224" s="35"/>
      <c r="MHF224" s="34"/>
      <c r="MHG224" s="34"/>
      <c r="MHH224" s="36"/>
      <c r="MHI224" s="36"/>
      <c r="MHJ224" s="37"/>
      <c r="MHK224" s="37"/>
      <c r="MHL224" s="38"/>
      <c r="MHM224" s="38"/>
      <c r="MHN224" s="39"/>
      <c r="MHO224" s="34"/>
      <c r="MHP224" s="34"/>
      <c r="MHQ224" s="34"/>
      <c r="MHR224" s="35"/>
      <c r="MHS224" s="35"/>
      <c r="MHT224" s="35"/>
      <c r="MHU224" s="35"/>
      <c r="MHV224" s="35"/>
      <c r="MHW224" s="34"/>
      <c r="MHX224" s="34"/>
      <c r="MHY224" s="36"/>
      <c r="MHZ224" s="36"/>
      <c r="MIA224" s="37"/>
      <c r="MIB224" s="37"/>
      <c r="MIC224" s="38"/>
      <c r="MID224" s="38"/>
      <c r="MIE224" s="39"/>
      <c r="MIF224" s="34"/>
      <c r="MIG224" s="34"/>
      <c r="MIH224" s="34"/>
      <c r="MII224" s="35"/>
      <c r="MIJ224" s="35"/>
      <c r="MIK224" s="35"/>
      <c r="MIL224" s="35"/>
      <c r="MIM224" s="35"/>
      <c r="MIN224" s="34"/>
      <c r="MIO224" s="34"/>
      <c r="MIP224" s="36"/>
      <c r="MIQ224" s="36"/>
      <c r="MIR224" s="37"/>
      <c r="MIS224" s="37"/>
      <c r="MIT224" s="38"/>
      <c r="MIU224" s="38"/>
      <c r="MIV224" s="39"/>
      <c r="MIW224" s="34"/>
      <c r="MIX224" s="34"/>
      <c r="MIY224" s="34"/>
      <c r="MIZ224" s="35"/>
      <c r="MJA224" s="35"/>
      <c r="MJB224" s="35"/>
      <c r="MJC224" s="35"/>
      <c r="MJD224" s="35"/>
      <c r="MJE224" s="34"/>
      <c r="MJF224" s="34"/>
      <c r="MJG224" s="36"/>
      <c r="MJH224" s="36"/>
      <c r="MJI224" s="37"/>
      <c r="MJJ224" s="37"/>
      <c r="MJK224" s="38"/>
      <c r="MJL224" s="38"/>
      <c r="MJM224" s="39"/>
      <c r="MJN224" s="34"/>
      <c r="MJO224" s="34"/>
      <c r="MJP224" s="34"/>
      <c r="MJQ224" s="35"/>
      <c r="MJR224" s="35"/>
      <c r="MJS224" s="35"/>
      <c r="MJT224" s="35"/>
      <c r="MJU224" s="35"/>
      <c r="MJV224" s="34"/>
      <c r="MJW224" s="34"/>
      <c r="MJX224" s="36"/>
      <c r="MJY224" s="36"/>
      <c r="MJZ224" s="37"/>
      <c r="MKA224" s="37"/>
      <c r="MKB224" s="38"/>
      <c r="MKC224" s="38"/>
      <c r="MKD224" s="39"/>
      <c r="MKE224" s="34"/>
      <c r="MKF224" s="34"/>
      <c r="MKG224" s="34"/>
      <c r="MKH224" s="35"/>
      <c r="MKI224" s="35"/>
      <c r="MKJ224" s="35"/>
      <c r="MKK224" s="35"/>
      <c r="MKL224" s="35"/>
      <c r="MKM224" s="34"/>
      <c r="MKN224" s="34"/>
      <c r="MKO224" s="36"/>
      <c r="MKP224" s="36"/>
      <c r="MKQ224" s="37"/>
      <c r="MKR224" s="37"/>
      <c r="MKS224" s="38"/>
      <c r="MKT224" s="38"/>
      <c r="MKU224" s="39"/>
      <c r="MKV224" s="34"/>
      <c r="MKW224" s="34"/>
      <c r="MKX224" s="34"/>
      <c r="MKY224" s="35"/>
      <c r="MKZ224" s="35"/>
      <c r="MLA224" s="35"/>
      <c r="MLB224" s="35"/>
      <c r="MLC224" s="35"/>
      <c r="MLD224" s="34"/>
      <c r="MLE224" s="34"/>
      <c r="MLF224" s="36"/>
      <c r="MLG224" s="36"/>
      <c r="MLH224" s="37"/>
      <c r="MLI224" s="37"/>
      <c r="MLJ224" s="38"/>
      <c r="MLK224" s="38"/>
      <c r="MLL224" s="39"/>
      <c r="MLM224" s="34"/>
      <c r="MLN224" s="34"/>
      <c r="MLO224" s="34"/>
      <c r="MLP224" s="35"/>
      <c r="MLQ224" s="35"/>
      <c r="MLR224" s="35"/>
      <c r="MLS224" s="35"/>
      <c r="MLT224" s="35"/>
      <c r="MLU224" s="34"/>
      <c r="MLV224" s="34"/>
      <c r="MLW224" s="36"/>
      <c r="MLX224" s="36"/>
      <c r="MLY224" s="37"/>
      <c r="MLZ224" s="37"/>
      <c r="MMA224" s="38"/>
      <c r="MMB224" s="38"/>
      <c r="MMC224" s="39"/>
      <c r="MMD224" s="34"/>
      <c r="MME224" s="34"/>
      <c r="MMF224" s="34"/>
      <c r="MMG224" s="35"/>
      <c r="MMH224" s="35"/>
      <c r="MMI224" s="35"/>
      <c r="MMJ224" s="35"/>
      <c r="MMK224" s="35"/>
      <c r="MML224" s="34"/>
      <c r="MMM224" s="34"/>
      <c r="MMN224" s="36"/>
      <c r="MMO224" s="36"/>
      <c r="MMP224" s="37"/>
      <c r="MMQ224" s="37"/>
      <c r="MMR224" s="38"/>
      <c r="MMS224" s="38"/>
      <c r="MMT224" s="39"/>
      <c r="MMU224" s="34"/>
      <c r="MMV224" s="34"/>
      <c r="MMW224" s="34"/>
      <c r="MMX224" s="35"/>
      <c r="MMY224" s="35"/>
      <c r="MMZ224" s="35"/>
      <c r="MNA224" s="35"/>
      <c r="MNB224" s="35"/>
      <c r="MNC224" s="34"/>
      <c r="MND224" s="34"/>
      <c r="MNE224" s="36"/>
      <c r="MNF224" s="36"/>
      <c r="MNG224" s="37"/>
      <c r="MNH224" s="37"/>
      <c r="MNI224" s="38"/>
      <c r="MNJ224" s="38"/>
      <c r="MNK224" s="39"/>
      <c r="MNL224" s="34"/>
      <c r="MNM224" s="34"/>
      <c r="MNN224" s="34"/>
      <c r="MNO224" s="35"/>
      <c r="MNP224" s="35"/>
      <c r="MNQ224" s="35"/>
      <c r="MNR224" s="35"/>
      <c r="MNS224" s="35"/>
      <c r="MNT224" s="34"/>
      <c r="MNU224" s="34"/>
      <c r="MNV224" s="36"/>
      <c r="MNW224" s="36"/>
      <c r="MNX224" s="37"/>
      <c r="MNY224" s="37"/>
      <c r="MNZ224" s="38"/>
      <c r="MOA224" s="38"/>
      <c r="MOB224" s="39"/>
      <c r="MOC224" s="34"/>
      <c r="MOD224" s="34"/>
      <c r="MOE224" s="34"/>
      <c r="MOF224" s="35"/>
      <c r="MOG224" s="35"/>
      <c r="MOH224" s="35"/>
      <c r="MOI224" s="35"/>
      <c r="MOJ224" s="35"/>
      <c r="MOK224" s="34"/>
      <c r="MOL224" s="34"/>
      <c r="MOM224" s="36"/>
      <c r="MON224" s="36"/>
      <c r="MOO224" s="37"/>
      <c r="MOP224" s="37"/>
      <c r="MOQ224" s="38"/>
      <c r="MOR224" s="38"/>
      <c r="MOS224" s="39"/>
      <c r="MOT224" s="34"/>
      <c r="MOU224" s="34"/>
      <c r="MOV224" s="34"/>
      <c r="MOW224" s="35"/>
      <c r="MOX224" s="35"/>
      <c r="MOY224" s="35"/>
      <c r="MOZ224" s="35"/>
      <c r="MPA224" s="35"/>
      <c r="MPB224" s="34"/>
      <c r="MPC224" s="34"/>
      <c r="MPD224" s="36"/>
      <c r="MPE224" s="36"/>
      <c r="MPF224" s="37"/>
      <c r="MPG224" s="37"/>
      <c r="MPH224" s="38"/>
      <c r="MPI224" s="38"/>
      <c r="MPJ224" s="39"/>
      <c r="MPK224" s="34"/>
      <c r="MPL224" s="34"/>
      <c r="MPM224" s="34"/>
      <c r="MPN224" s="35"/>
      <c r="MPO224" s="35"/>
      <c r="MPP224" s="35"/>
      <c r="MPQ224" s="35"/>
      <c r="MPR224" s="35"/>
      <c r="MPS224" s="34"/>
      <c r="MPT224" s="34"/>
      <c r="MPU224" s="36"/>
      <c r="MPV224" s="36"/>
      <c r="MPW224" s="37"/>
      <c r="MPX224" s="37"/>
      <c r="MPY224" s="38"/>
      <c r="MPZ224" s="38"/>
      <c r="MQA224" s="39"/>
      <c r="MQB224" s="34"/>
      <c r="MQC224" s="34"/>
      <c r="MQD224" s="34"/>
      <c r="MQE224" s="35"/>
      <c r="MQF224" s="35"/>
      <c r="MQG224" s="35"/>
      <c r="MQH224" s="35"/>
      <c r="MQI224" s="35"/>
      <c r="MQJ224" s="34"/>
      <c r="MQK224" s="34"/>
      <c r="MQL224" s="36"/>
      <c r="MQM224" s="36"/>
      <c r="MQN224" s="37"/>
      <c r="MQO224" s="37"/>
      <c r="MQP224" s="38"/>
      <c r="MQQ224" s="38"/>
      <c r="MQR224" s="39"/>
      <c r="MQS224" s="34"/>
      <c r="MQT224" s="34"/>
      <c r="MQU224" s="34"/>
      <c r="MQV224" s="35"/>
      <c r="MQW224" s="35"/>
      <c r="MQX224" s="35"/>
      <c r="MQY224" s="35"/>
      <c r="MQZ224" s="35"/>
      <c r="MRA224" s="34"/>
      <c r="MRB224" s="34"/>
      <c r="MRC224" s="36"/>
      <c r="MRD224" s="36"/>
      <c r="MRE224" s="37"/>
      <c r="MRF224" s="37"/>
      <c r="MRG224" s="38"/>
      <c r="MRH224" s="38"/>
      <c r="MRI224" s="39"/>
      <c r="MRJ224" s="34"/>
      <c r="MRK224" s="34"/>
      <c r="MRL224" s="34"/>
      <c r="MRM224" s="35"/>
      <c r="MRN224" s="35"/>
      <c r="MRO224" s="35"/>
      <c r="MRP224" s="35"/>
      <c r="MRQ224" s="35"/>
      <c r="MRR224" s="34"/>
      <c r="MRS224" s="34"/>
      <c r="MRT224" s="36"/>
      <c r="MRU224" s="36"/>
      <c r="MRV224" s="37"/>
      <c r="MRW224" s="37"/>
      <c r="MRX224" s="38"/>
      <c r="MRY224" s="38"/>
      <c r="MRZ224" s="39"/>
      <c r="MSA224" s="34"/>
      <c r="MSB224" s="34"/>
      <c r="MSC224" s="34"/>
      <c r="MSD224" s="35"/>
      <c r="MSE224" s="35"/>
      <c r="MSF224" s="35"/>
      <c r="MSG224" s="35"/>
      <c r="MSH224" s="35"/>
      <c r="MSI224" s="34"/>
      <c r="MSJ224" s="34"/>
      <c r="MSK224" s="36"/>
      <c r="MSL224" s="36"/>
      <c r="MSM224" s="37"/>
      <c r="MSN224" s="37"/>
      <c r="MSO224" s="38"/>
      <c r="MSP224" s="38"/>
      <c r="MSQ224" s="39"/>
      <c r="MSR224" s="34"/>
      <c r="MSS224" s="34"/>
      <c r="MST224" s="34"/>
      <c r="MSU224" s="35"/>
      <c r="MSV224" s="35"/>
      <c r="MSW224" s="35"/>
      <c r="MSX224" s="35"/>
      <c r="MSY224" s="35"/>
      <c r="MSZ224" s="34"/>
      <c r="MTA224" s="34"/>
      <c r="MTB224" s="36"/>
      <c r="MTC224" s="36"/>
      <c r="MTD224" s="37"/>
      <c r="MTE224" s="37"/>
      <c r="MTF224" s="38"/>
      <c r="MTG224" s="38"/>
      <c r="MTH224" s="39"/>
      <c r="MTI224" s="34"/>
      <c r="MTJ224" s="34"/>
      <c r="MTK224" s="34"/>
      <c r="MTL224" s="35"/>
      <c r="MTM224" s="35"/>
      <c r="MTN224" s="35"/>
      <c r="MTO224" s="35"/>
      <c r="MTP224" s="35"/>
      <c r="MTQ224" s="34"/>
      <c r="MTR224" s="34"/>
      <c r="MTS224" s="36"/>
      <c r="MTT224" s="36"/>
      <c r="MTU224" s="37"/>
      <c r="MTV224" s="37"/>
      <c r="MTW224" s="38"/>
      <c r="MTX224" s="38"/>
      <c r="MTY224" s="39"/>
      <c r="MTZ224" s="34"/>
      <c r="MUA224" s="34"/>
      <c r="MUB224" s="34"/>
      <c r="MUC224" s="35"/>
      <c r="MUD224" s="35"/>
      <c r="MUE224" s="35"/>
      <c r="MUF224" s="35"/>
      <c r="MUG224" s="35"/>
      <c r="MUH224" s="34"/>
      <c r="MUI224" s="34"/>
      <c r="MUJ224" s="36"/>
      <c r="MUK224" s="36"/>
      <c r="MUL224" s="37"/>
      <c r="MUM224" s="37"/>
      <c r="MUN224" s="38"/>
      <c r="MUO224" s="38"/>
      <c r="MUP224" s="39"/>
      <c r="MUQ224" s="34"/>
      <c r="MUR224" s="34"/>
      <c r="MUS224" s="34"/>
      <c r="MUT224" s="35"/>
      <c r="MUU224" s="35"/>
      <c r="MUV224" s="35"/>
      <c r="MUW224" s="35"/>
      <c r="MUX224" s="35"/>
      <c r="MUY224" s="34"/>
      <c r="MUZ224" s="34"/>
      <c r="MVA224" s="36"/>
      <c r="MVB224" s="36"/>
      <c r="MVC224" s="37"/>
      <c r="MVD224" s="37"/>
      <c r="MVE224" s="38"/>
      <c r="MVF224" s="38"/>
      <c r="MVG224" s="39"/>
      <c r="MVH224" s="34"/>
      <c r="MVI224" s="34"/>
      <c r="MVJ224" s="34"/>
      <c r="MVK224" s="35"/>
      <c r="MVL224" s="35"/>
      <c r="MVM224" s="35"/>
      <c r="MVN224" s="35"/>
      <c r="MVO224" s="35"/>
      <c r="MVP224" s="34"/>
      <c r="MVQ224" s="34"/>
      <c r="MVR224" s="36"/>
      <c r="MVS224" s="36"/>
      <c r="MVT224" s="37"/>
      <c r="MVU224" s="37"/>
      <c r="MVV224" s="38"/>
      <c r="MVW224" s="38"/>
      <c r="MVX224" s="39"/>
      <c r="MVY224" s="34"/>
      <c r="MVZ224" s="34"/>
      <c r="MWA224" s="34"/>
      <c r="MWB224" s="35"/>
      <c r="MWC224" s="35"/>
      <c r="MWD224" s="35"/>
      <c r="MWE224" s="35"/>
      <c r="MWF224" s="35"/>
      <c r="MWG224" s="34"/>
      <c r="MWH224" s="34"/>
      <c r="MWI224" s="36"/>
      <c r="MWJ224" s="36"/>
      <c r="MWK224" s="37"/>
      <c r="MWL224" s="37"/>
      <c r="MWM224" s="38"/>
      <c r="MWN224" s="38"/>
      <c r="MWO224" s="39"/>
      <c r="MWP224" s="34"/>
      <c r="MWQ224" s="34"/>
      <c r="MWR224" s="34"/>
      <c r="MWS224" s="35"/>
      <c r="MWT224" s="35"/>
      <c r="MWU224" s="35"/>
      <c r="MWV224" s="35"/>
      <c r="MWW224" s="35"/>
      <c r="MWX224" s="34"/>
      <c r="MWY224" s="34"/>
      <c r="MWZ224" s="36"/>
      <c r="MXA224" s="36"/>
      <c r="MXB224" s="37"/>
      <c r="MXC224" s="37"/>
      <c r="MXD224" s="38"/>
      <c r="MXE224" s="38"/>
      <c r="MXF224" s="39"/>
      <c r="MXG224" s="34"/>
      <c r="MXH224" s="34"/>
      <c r="MXI224" s="34"/>
      <c r="MXJ224" s="35"/>
      <c r="MXK224" s="35"/>
      <c r="MXL224" s="35"/>
      <c r="MXM224" s="35"/>
      <c r="MXN224" s="35"/>
      <c r="MXO224" s="34"/>
      <c r="MXP224" s="34"/>
      <c r="MXQ224" s="36"/>
      <c r="MXR224" s="36"/>
      <c r="MXS224" s="37"/>
      <c r="MXT224" s="37"/>
      <c r="MXU224" s="38"/>
      <c r="MXV224" s="38"/>
      <c r="MXW224" s="39"/>
      <c r="MXX224" s="34"/>
      <c r="MXY224" s="34"/>
      <c r="MXZ224" s="34"/>
      <c r="MYA224" s="35"/>
      <c r="MYB224" s="35"/>
      <c r="MYC224" s="35"/>
      <c r="MYD224" s="35"/>
      <c r="MYE224" s="35"/>
      <c r="MYF224" s="34"/>
      <c r="MYG224" s="34"/>
      <c r="MYH224" s="36"/>
      <c r="MYI224" s="36"/>
      <c r="MYJ224" s="37"/>
      <c r="MYK224" s="37"/>
      <c r="MYL224" s="38"/>
      <c r="MYM224" s="38"/>
      <c r="MYN224" s="39"/>
      <c r="MYO224" s="34"/>
      <c r="MYP224" s="34"/>
      <c r="MYQ224" s="34"/>
      <c r="MYR224" s="35"/>
      <c r="MYS224" s="35"/>
      <c r="MYT224" s="35"/>
      <c r="MYU224" s="35"/>
      <c r="MYV224" s="35"/>
      <c r="MYW224" s="34"/>
      <c r="MYX224" s="34"/>
      <c r="MYY224" s="36"/>
      <c r="MYZ224" s="36"/>
      <c r="MZA224" s="37"/>
      <c r="MZB224" s="37"/>
      <c r="MZC224" s="38"/>
      <c r="MZD224" s="38"/>
      <c r="MZE224" s="39"/>
      <c r="MZF224" s="34"/>
      <c r="MZG224" s="34"/>
      <c r="MZH224" s="34"/>
      <c r="MZI224" s="35"/>
      <c r="MZJ224" s="35"/>
      <c r="MZK224" s="35"/>
      <c r="MZL224" s="35"/>
      <c r="MZM224" s="35"/>
      <c r="MZN224" s="34"/>
      <c r="MZO224" s="34"/>
      <c r="MZP224" s="36"/>
      <c r="MZQ224" s="36"/>
      <c r="MZR224" s="37"/>
      <c r="MZS224" s="37"/>
      <c r="MZT224" s="38"/>
      <c r="MZU224" s="38"/>
      <c r="MZV224" s="39"/>
      <c r="MZW224" s="34"/>
      <c r="MZX224" s="34"/>
      <c r="MZY224" s="34"/>
      <c r="MZZ224" s="35"/>
      <c r="NAA224" s="35"/>
      <c r="NAB224" s="35"/>
      <c r="NAC224" s="35"/>
      <c r="NAD224" s="35"/>
      <c r="NAE224" s="34"/>
      <c r="NAF224" s="34"/>
      <c r="NAG224" s="36"/>
      <c r="NAH224" s="36"/>
      <c r="NAI224" s="37"/>
      <c r="NAJ224" s="37"/>
      <c r="NAK224" s="38"/>
      <c r="NAL224" s="38"/>
      <c r="NAM224" s="39"/>
      <c r="NAN224" s="34"/>
      <c r="NAO224" s="34"/>
      <c r="NAP224" s="34"/>
      <c r="NAQ224" s="35"/>
      <c r="NAR224" s="35"/>
      <c r="NAS224" s="35"/>
      <c r="NAT224" s="35"/>
      <c r="NAU224" s="35"/>
      <c r="NAV224" s="34"/>
      <c r="NAW224" s="34"/>
      <c r="NAX224" s="36"/>
      <c r="NAY224" s="36"/>
      <c r="NAZ224" s="37"/>
      <c r="NBA224" s="37"/>
      <c r="NBB224" s="38"/>
      <c r="NBC224" s="38"/>
      <c r="NBD224" s="39"/>
      <c r="NBE224" s="34"/>
      <c r="NBF224" s="34"/>
      <c r="NBG224" s="34"/>
      <c r="NBH224" s="35"/>
      <c r="NBI224" s="35"/>
      <c r="NBJ224" s="35"/>
      <c r="NBK224" s="35"/>
      <c r="NBL224" s="35"/>
      <c r="NBM224" s="34"/>
      <c r="NBN224" s="34"/>
      <c r="NBO224" s="36"/>
      <c r="NBP224" s="36"/>
      <c r="NBQ224" s="37"/>
      <c r="NBR224" s="37"/>
      <c r="NBS224" s="38"/>
      <c r="NBT224" s="38"/>
      <c r="NBU224" s="39"/>
      <c r="NBV224" s="34"/>
      <c r="NBW224" s="34"/>
      <c r="NBX224" s="34"/>
      <c r="NBY224" s="35"/>
      <c r="NBZ224" s="35"/>
      <c r="NCA224" s="35"/>
      <c r="NCB224" s="35"/>
      <c r="NCC224" s="35"/>
      <c r="NCD224" s="34"/>
      <c r="NCE224" s="34"/>
      <c r="NCF224" s="36"/>
      <c r="NCG224" s="36"/>
      <c r="NCH224" s="37"/>
      <c r="NCI224" s="37"/>
      <c r="NCJ224" s="38"/>
      <c r="NCK224" s="38"/>
      <c r="NCL224" s="39"/>
      <c r="NCM224" s="34"/>
      <c r="NCN224" s="34"/>
      <c r="NCO224" s="34"/>
      <c r="NCP224" s="35"/>
      <c r="NCQ224" s="35"/>
      <c r="NCR224" s="35"/>
      <c r="NCS224" s="35"/>
      <c r="NCT224" s="35"/>
      <c r="NCU224" s="34"/>
      <c r="NCV224" s="34"/>
      <c r="NCW224" s="36"/>
      <c r="NCX224" s="36"/>
      <c r="NCY224" s="37"/>
      <c r="NCZ224" s="37"/>
      <c r="NDA224" s="38"/>
      <c r="NDB224" s="38"/>
      <c r="NDC224" s="39"/>
      <c r="NDD224" s="34"/>
      <c r="NDE224" s="34"/>
      <c r="NDF224" s="34"/>
      <c r="NDG224" s="35"/>
      <c r="NDH224" s="35"/>
      <c r="NDI224" s="35"/>
      <c r="NDJ224" s="35"/>
      <c r="NDK224" s="35"/>
      <c r="NDL224" s="34"/>
      <c r="NDM224" s="34"/>
      <c r="NDN224" s="36"/>
      <c r="NDO224" s="36"/>
      <c r="NDP224" s="37"/>
      <c r="NDQ224" s="37"/>
      <c r="NDR224" s="38"/>
      <c r="NDS224" s="38"/>
      <c r="NDT224" s="39"/>
      <c r="NDU224" s="34"/>
      <c r="NDV224" s="34"/>
      <c r="NDW224" s="34"/>
      <c r="NDX224" s="35"/>
      <c r="NDY224" s="35"/>
      <c r="NDZ224" s="35"/>
      <c r="NEA224" s="35"/>
      <c r="NEB224" s="35"/>
      <c r="NEC224" s="34"/>
      <c r="NED224" s="34"/>
      <c r="NEE224" s="36"/>
      <c r="NEF224" s="36"/>
      <c r="NEG224" s="37"/>
      <c r="NEH224" s="37"/>
      <c r="NEI224" s="38"/>
      <c r="NEJ224" s="38"/>
      <c r="NEK224" s="39"/>
      <c r="NEL224" s="34"/>
      <c r="NEM224" s="34"/>
      <c r="NEN224" s="34"/>
      <c r="NEO224" s="35"/>
      <c r="NEP224" s="35"/>
      <c r="NEQ224" s="35"/>
      <c r="NER224" s="35"/>
      <c r="NES224" s="35"/>
      <c r="NET224" s="34"/>
      <c r="NEU224" s="34"/>
      <c r="NEV224" s="36"/>
      <c r="NEW224" s="36"/>
      <c r="NEX224" s="37"/>
      <c r="NEY224" s="37"/>
      <c r="NEZ224" s="38"/>
      <c r="NFA224" s="38"/>
      <c r="NFB224" s="39"/>
      <c r="NFC224" s="34"/>
      <c r="NFD224" s="34"/>
      <c r="NFE224" s="34"/>
      <c r="NFF224" s="35"/>
      <c r="NFG224" s="35"/>
      <c r="NFH224" s="35"/>
      <c r="NFI224" s="35"/>
      <c r="NFJ224" s="35"/>
      <c r="NFK224" s="34"/>
      <c r="NFL224" s="34"/>
      <c r="NFM224" s="36"/>
      <c r="NFN224" s="36"/>
      <c r="NFO224" s="37"/>
      <c r="NFP224" s="37"/>
      <c r="NFQ224" s="38"/>
      <c r="NFR224" s="38"/>
      <c r="NFS224" s="39"/>
      <c r="NFT224" s="34"/>
      <c r="NFU224" s="34"/>
      <c r="NFV224" s="34"/>
      <c r="NFW224" s="35"/>
      <c r="NFX224" s="35"/>
      <c r="NFY224" s="35"/>
      <c r="NFZ224" s="35"/>
      <c r="NGA224" s="35"/>
      <c r="NGB224" s="34"/>
      <c r="NGC224" s="34"/>
      <c r="NGD224" s="36"/>
      <c r="NGE224" s="36"/>
      <c r="NGF224" s="37"/>
      <c r="NGG224" s="37"/>
      <c r="NGH224" s="38"/>
      <c r="NGI224" s="38"/>
      <c r="NGJ224" s="39"/>
      <c r="NGK224" s="34"/>
      <c r="NGL224" s="34"/>
      <c r="NGM224" s="34"/>
      <c r="NGN224" s="35"/>
      <c r="NGO224" s="35"/>
      <c r="NGP224" s="35"/>
      <c r="NGQ224" s="35"/>
      <c r="NGR224" s="35"/>
      <c r="NGS224" s="34"/>
      <c r="NGT224" s="34"/>
      <c r="NGU224" s="36"/>
      <c r="NGV224" s="36"/>
      <c r="NGW224" s="37"/>
      <c r="NGX224" s="37"/>
      <c r="NGY224" s="38"/>
      <c r="NGZ224" s="38"/>
      <c r="NHA224" s="39"/>
      <c r="NHB224" s="34"/>
      <c r="NHC224" s="34"/>
      <c r="NHD224" s="34"/>
      <c r="NHE224" s="35"/>
      <c r="NHF224" s="35"/>
      <c r="NHG224" s="35"/>
      <c r="NHH224" s="35"/>
      <c r="NHI224" s="35"/>
      <c r="NHJ224" s="34"/>
      <c r="NHK224" s="34"/>
      <c r="NHL224" s="36"/>
      <c r="NHM224" s="36"/>
      <c r="NHN224" s="37"/>
      <c r="NHO224" s="37"/>
      <c r="NHP224" s="38"/>
      <c r="NHQ224" s="38"/>
      <c r="NHR224" s="39"/>
      <c r="NHS224" s="34"/>
      <c r="NHT224" s="34"/>
      <c r="NHU224" s="34"/>
      <c r="NHV224" s="35"/>
      <c r="NHW224" s="35"/>
      <c r="NHX224" s="35"/>
      <c r="NHY224" s="35"/>
      <c r="NHZ224" s="35"/>
      <c r="NIA224" s="34"/>
      <c r="NIB224" s="34"/>
      <c r="NIC224" s="36"/>
      <c r="NID224" s="36"/>
      <c r="NIE224" s="37"/>
      <c r="NIF224" s="37"/>
      <c r="NIG224" s="38"/>
      <c r="NIH224" s="38"/>
      <c r="NII224" s="39"/>
      <c r="NIJ224" s="34"/>
      <c r="NIK224" s="34"/>
      <c r="NIL224" s="34"/>
      <c r="NIM224" s="35"/>
      <c r="NIN224" s="35"/>
      <c r="NIO224" s="35"/>
      <c r="NIP224" s="35"/>
      <c r="NIQ224" s="35"/>
      <c r="NIR224" s="34"/>
      <c r="NIS224" s="34"/>
      <c r="NIT224" s="36"/>
      <c r="NIU224" s="36"/>
      <c r="NIV224" s="37"/>
      <c r="NIW224" s="37"/>
      <c r="NIX224" s="38"/>
      <c r="NIY224" s="38"/>
      <c r="NIZ224" s="39"/>
      <c r="NJA224" s="34"/>
      <c r="NJB224" s="34"/>
      <c r="NJC224" s="34"/>
      <c r="NJD224" s="35"/>
      <c r="NJE224" s="35"/>
      <c r="NJF224" s="35"/>
      <c r="NJG224" s="35"/>
      <c r="NJH224" s="35"/>
      <c r="NJI224" s="34"/>
      <c r="NJJ224" s="34"/>
      <c r="NJK224" s="36"/>
      <c r="NJL224" s="36"/>
      <c r="NJM224" s="37"/>
      <c r="NJN224" s="37"/>
      <c r="NJO224" s="38"/>
      <c r="NJP224" s="38"/>
      <c r="NJQ224" s="39"/>
      <c r="NJR224" s="34"/>
      <c r="NJS224" s="34"/>
      <c r="NJT224" s="34"/>
      <c r="NJU224" s="35"/>
      <c r="NJV224" s="35"/>
      <c r="NJW224" s="35"/>
      <c r="NJX224" s="35"/>
      <c r="NJY224" s="35"/>
      <c r="NJZ224" s="34"/>
      <c r="NKA224" s="34"/>
      <c r="NKB224" s="36"/>
      <c r="NKC224" s="36"/>
      <c r="NKD224" s="37"/>
      <c r="NKE224" s="37"/>
      <c r="NKF224" s="38"/>
      <c r="NKG224" s="38"/>
      <c r="NKH224" s="39"/>
      <c r="NKI224" s="34"/>
      <c r="NKJ224" s="34"/>
      <c r="NKK224" s="34"/>
      <c r="NKL224" s="35"/>
      <c r="NKM224" s="35"/>
      <c r="NKN224" s="35"/>
      <c r="NKO224" s="35"/>
      <c r="NKP224" s="35"/>
      <c r="NKQ224" s="34"/>
      <c r="NKR224" s="34"/>
      <c r="NKS224" s="36"/>
      <c r="NKT224" s="36"/>
      <c r="NKU224" s="37"/>
      <c r="NKV224" s="37"/>
      <c r="NKW224" s="38"/>
      <c r="NKX224" s="38"/>
      <c r="NKY224" s="39"/>
      <c r="NKZ224" s="34"/>
      <c r="NLA224" s="34"/>
      <c r="NLB224" s="34"/>
      <c r="NLC224" s="35"/>
      <c r="NLD224" s="35"/>
      <c r="NLE224" s="35"/>
      <c r="NLF224" s="35"/>
      <c r="NLG224" s="35"/>
      <c r="NLH224" s="34"/>
      <c r="NLI224" s="34"/>
      <c r="NLJ224" s="36"/>
      <c r="NLK224" s="36"/>
      <c r="NLL224" s="37"/>
      <c r="NLM224" s="37"/>
      <c r="NLN224" s="38"/>
      <c r="NLO224" s="38"/>
      <c r="NLP224" s="39"/>
      <c r="NLQ224" s="34"/>
      <c r="NLR224" s="34"/>
      <c r="NLS224" s="34"/>
      <c r="NLT224" s="35"/>
      <c r="NLU224" s="35"/>
      <c r="NLV224" s="35"/>
      <c r="NLW224" s="35"/>
      <c r="NLX224" s="35"/>
      <c r="NLY224" s="34"/>
      <c r="NLZ224" s="34"/>
      <c r="NMA224" s="36"/>
      <c r="NMB224" s="36"/>
      <c r="NMC224" s="37"/>
      <c r="NMD224" s="37"/>
      <c r="NME224" s="38"/>
      <c r="NMF224" s="38"/>
      <c r="NMG224" s="39"/>
      <c r="NMH224" s="34"/>
      <c r="NMI224" s="34"/>
      <c r="NMJ224" s="34"/>
      <c r="NMK224" s="35"/>
      <c r="NML224" s="35"/>
      <c r="NMM224" s="35"/>
      <c r="NMN224" s="35"/>
      <c r="NMO224" s="35"/>
      <c r="NMP224" s="34"/>
      <c r="NMQ224" s="34"/>
      <c r="NMR224" s="36"/>
      <c r="NMS224" s="36"/>
      <c r="NMT224" s="37"/>
      <c r="NMU224" s="37"/>
      <c r="NMV224" s="38"/>
      <c r="NMW224" s="38"/>
      <c r="NMX224" s="39"/>
      <c r="NMY224" s="34"/>
      <c r="NMZ224" s="34"/>
      <c r="NNA224" s="34"/>
      <c r="NNB224" s="35"/>
      <c r="NNC224" s="35"/>
      <c r="NND224" s="35"/>
      <c r="NNE224" s="35"/>
      <c r="NNF224" s="35"/>
      <c r="NNG224" s="34"/>
      <c r="NNH224" s="34"/>
      <c r="NNI224" s="36"/>
      <c r="NNJ224" s="36"/>
      <c r="NNK224" s="37"/>
      <c r="NNL224" s="37"/>
      <c r="NNM224" s="38"/>
      <c r="NNN224" s="38"/>
      <c r="NNO224" s="39"/>
      <c r="NNP224" s="34"/>
      <c r="NNQ224" s="34"/>
      <c r="NNR224" s="34"/>
      <c r="NNS224" s="35"/>
      <c r="NNT224" s="35"/>
      <c r="NNU224" s="35"/>
      <c r="NNV224" s="35"/>
      <c r="NNW224" s="35"/>
      <c r="NNX224" s="34"/>
      <c r="NNY224" s="34"/>
      <c r="NNZ224" s="36"/>
      <c r="NOA224" s="36"/>
      <c r="NOB224" s="37"/>
      <c r="NOC224" s="37"/>
      <c r="NOD224" s="38"/>
      <c r="NOE224" s="38"/>
      <c r="NOF224" s="39"/>
      <c r="NOG224" s="34"/>
      <c r="NOH224" s="34"/>
      <c r="NOI224" s="34"/>
      <c r="NOJ224" s="35"/>
      <c r="NOK224" s="35"/>
      <c r="NOL224" s="35"/>
      <c r="NOM224" s="35"/>
      <c r="NON224" s="35"/>
      <c r="NOO224" s="34"/>
      <c r="NOP224" s="34"/>
      <c r="NOQ224" s="36"/>
      <c r="NOR224" s="36"/>
      <c r="NOS224" s="37"/>
      <c r="NOT224" s="37"/>
      <c r="NOU224" s="38"/>
      <c r="NOV224" s="38"/>
      <c r="NOW224" s="39"/>
      <c r="NOX224" s="34"/>
      <c r="NOY224" s="34"/>
      <c r="NOZ224" s="34"/>
      <c r="NPA224" s="35"/>
      <c r="NPB224" s="35"/>
      <c r="NPC224" s="35"/>
      <c r="NPD224" s="35"/>
      <c r="NPE224" s="35"/>
      <c r="NPF224" s="34"/>
      <c r="NPG224" s="34"/>
      <c r="NPH224" s="36"/>
      <c r="NPI224" s="36"/>
      <c r="NPJ224" s="37"/>
      <c r="NPK224" s="37"/>
      <c r="NPL224" s="38"/>
      <c r="NPM224" s="38"/>
      <c r="NPN224" s="39"/>
      <c r="NPO224" s="34"/>
      <c r="NPP224" s="34"/>
      <c r="NPQ224" s="34"/>
      <c r="NPR224" s="35"/>
      <c r="NPS224" s="35"/>
      <c r="NPT224" s="35"/>
      <c r="NPU224" s="35"/>
      <c r="NPV224" s="35"/>
      <c r="NPW224" s="34"/>
      <c r="NPX224" s="34"/>
      <c r="NPY224" s="36"/>
      <c r="NPZ224" s="36"/>
      <c r="NQA224" s="37"/>
      <c r="NQB224" s="37"/>
      <c r="NQC224" s="38"/>
      <c r="NQD224" s="38"/>
      <c r="NQE224" s="39"/>
      <c r="NQF224" s="34"/>
      <c r="NQG224" s="34"/>
      <c r="NQH224" s="34"/>
      <c r="NQI224" s="35"/>
      <c r="NQJ224" s="35"/>
      <c r="NQK224" s="35"/>
      <c r="NQL224" s="35"/>
      <c r="NQM224" s="35"/>
      <c r="NQN224" s="34"/>
      <c r="NQO224" s="34"/>
      <c r="NQP224" s="36"/>
      <c r="NQQ224" s="36"/>
      <c r="NQR224" s="37"/>
      <c r="NQS224" s="37"/>
      <c r="NQT224" s="38"/>
      <c r="NQU224" s="38"/>
      <c r="NQV224" s="39"/>
      <c r="NQW224" s="34"/>
      <c r="NQX224" s="34"/>
      <c r="NQY224" s="34"/>
      <c r="NQZ224" s="35"/>
      <c r="NRA224" s="35"/>
      <c r="NRB224" s="35"/>
      <c r="NRC224" s="35"/>
      <c r="NRD224" s="35"/>
      <c r="NRE224" s="34"/>
      <c r="NRF224" s="34"/>
      <c r="NRG224" s="36"/>
      <c r="NRH224" s="36"/>
      <c r="NRI224" s="37"/>
      <c r="NRJ224" s="37"/>
      <c r="NRK224" s="38"/>
      <c r="NRL224" s="38"/>
      <c r="NRM224" s="39"/>
      <c r="NRN224" s="34"/>
      <c r="NRO224" s="34"/>
      <c r="NRP224" s="34"/>
      <c r="NRQ224" s="35"/>
      <c r="NRR224" s="35"/>
      <c r="NRS224" s="35"/>
      <c r="NRT224" s="35"/>
      <c r="NRU224" s="35"/>
      <c r="NRV224" s="34"/>
      <c r="NRW224" s="34"/>
      <c r="NRX224" s="36"/>
      <c r="NRY224" s="36"/>
      <c r="NRZ224" s="37"/>
      <c r="NSA224" s="37"/>
      <c r="NSB224" s="38"/>
      <c r="NSC224" s="38"/>
      <c r="NSD224" s="39"/>
      <c r="NSE224" s="34"/>
      <c r="NSF224" s="34"/>
      <c r="NSG224" s="34"/>
      <c r="NSH224" s="35"/>
      <c r="NSI224" s="35"/>
      <c r="NSJ224" s="35"/>
      <c r="NSK224" s="35"/>
      <c r="NSL224" s="35"/>
      <c r="NSM224" s="34"/>
      <c r="NSN224" s="34"/>
      <c r="NSO224" s="36"/>
      <c r="NSP224" s="36"/>
      <c r="NSQ224" s="37"/>
      <c r="NSR224" s="37"/>
      <c r="NSS224" s="38"/>
      <c r="NST224" s="38"/>
      <c r="NSU224" s="39"/>
      <c r="NSV224" s="34"/>
      <c r="NSW224" s="34"/>
      <c r="NSX224" s="34"/>
      <c r="NSY224" s="35"/>
      <c r="NSZ224" s="35"/>
      <c r="NTA224" s="35"/>
      <c r="NTB224" s="35"/>
      <c r="NTC224" s="35"/>
      <c r="NTD224" s="34"/>
      <c r="NTE224" s="34"/>
      <c r="NTF224" s="36"/>
      <c r="NTG224" s="36"/>
      <c r="NTH224" s="37"/>
      <c r="NTI224" s="37"/>
      <c r="NTJ224" s="38"/>
      <c r="NTK224" s="38"/>
      <c r="NTL224" s="39"/>
      <c r="NTM224" s="34"/>
      <c r="NTN224" s="34"/>
      <c r="NTO224" s="34"/>
      <c r="NTP224" s="35"/>
      <c r="NTQ224" s="35"/>
      <c r="NTR224" s="35"/>
      <c r="NTS224" s="35"/>
      <c r="NTT224" s="35"/>
      <c r="NTU224" s="34"/>
      <c r="NTV224" s="34"/>
      <c r="NTW224" s="36"/>
      <c r="NTX224" s="36"/>
      <c r="NTY224" s="37"/>
      <c r="NTZ224" s="37"/>
      <c r="NUA224" s="38"/>
      <c r="NUB224" s="38"/>
      <c r="NUC224" s="39"/>
      <c r="NUD224" s="34"/>
      <c r="NUE224" s="34"/>
      <c r="NUF224" s="34"/>
      <c r="NUG224" s="35"/>
      <c r="NUH224" s="35"/>
      <c r="NUI224" s="35"/>
      <c r="NUJ224" s="35"/>
      <c r="NUK224" s="35"/>
      <c r="NUL224" s="34"/>
      <c r="NUM224" s="34"/>
      <c r="NUN224" s="36"/>
      <c r="NUO224" s="36"/>
      <c r="NUP224" s="37"/>
      <c r="NUQ224" s="37"/>
      <c r="NUR224" s="38"/>
      <c r="NUS224" s="38"/>
      <c r="NUT224" s="39"/>
      <c r="NUU224" s="34"/>
      <c r="NUV224" s="34"/>
      <c r="NUW224" s="34"/>
      <c r="NUX224" s="35"/>
      <c r="NUY224" s="35"/>
      <c r="NUZ224" s="35"/>
      <c r="NVA224" s="35"/>
      <c r="NVB224" s="35"/>
      <c r="NVC224" s="34"/>
      <c r="NVD224" s="34"/>
      <c r="NVE224" s="36"/>
      <c r="NVF224" s="36"/>
      <c r="NVG224" s="37"/>
      <c r="NVH224" s="37"/>
      <c r="NVI224" s="38"/>
      <c r="NVJ224" s="38"/>
      <c r="NVK224" s="39"/>
      <c r="NVL224" s="34"/>
      <c r="NVM224" s="34"/>
      <c r="NVN224" s="34"/>
      <c r="NVO224" s="35"/>
      <c r="NVP224" s="35"/>
      <c r="NVQ224" s="35"/>
      <c r="NVR224" s="35"/>
      <c r="NVS224" s="35"/>
      <c r="NVT224" s="34"/>
      <c r="NVU224" s="34"/>
      <c r="NVV224" s="36"/>
      <c r="NVW224" s="36"/>
      <c r="NVX224" s="37"/>
      <c r="NVY224" s="37"/>
      <c r="NVZ224" s="38"/>
      <c r="NWA224" s="38"/>
      <c r="NWB224" s="39"/>
      <c r="NWC224" s="34"/>
      <c r="NWD224" s="34"/>
      <c r="NWE224" s="34"/>
      <c r="NWF224" s="35"/>
      <c r="NWG224" s="35"/>
      <c r="NWH224" s="35"/>
      <c r="NWI224" s="35"/>
      <c r="NWJ224" s="35"/>
      <c r="NWK224" s="34"/>
      <c r="NWL224" s="34"/>
      <c r="NWM224" s="36"/>
      <c r="NWN224" s="36"/>
      <c r="NWO224" s="37"/>
      <c r="NWP224" s="37"/>
      <c r="NWQ224" s="38"/>
      <c r="NWR224" s="38"/>
      <c r="NWS224" s="39"/>
      <c r="NWT224" s="34"/>
      <c r="NWU224" s="34"/>
      <c r="NWV224" s="34"/>
      <c r="NWW224" s="35"/>
      <c r="NWX224" s="35"/>
      <c r="NWY224" s="35"/>
      <c r="NWZ224" s="35"/>
      <c r="NXA224" s="35"/>
      <c r="NXB224" s="34"/>
      <c r="NXC224" s="34"/>
      <c r="NXD224" s="36"/>
      <c r="NXE224" s="36"/>
      <c r="NXF224" s="37"/>
      <c r="NXG224" s="37"/>
      <c r="NXH224" s="38"/>
      <c r="NXI224" s="38"/>
      <c r="NXJ224" s="39"/>
      <c r="NXK224" s="34"/>
      <c r="NXL224" s="34"/>
      <c r="NXM224" s="34"/>
      <c r="NXN224" s="35"/>
      <c r="NXO224" s="35"/>
      <c r="NXP224" s="35"/>
      <c r="NXQ224" s="35"/>
      <c r="NXR224" s="35"/>
      <c r="NXS224" s="34"/>
      <c r="NXT224" s="34"/>
      <c r="NXU224" s="36"/>
      <c r="NXV224" s="36"/>
      <c r="NXW224" s="37"/>
      <c r="NXX224" s="37"/>
      <c r="NXY224" s="38"/>
      <c r="NXZ224" s="38"/>
      <c r="NYA224" s="39"/>
      <c r="NYB224" s="34"/>
      <c r="NYC224" s="34"/>
      <c r="NYD224" s="34"/>
      <c r="NYE224" s="35"/>
      <c r="NYF224" s="35"/>
      <c r="NYG224" s="35"/>
      <c r="NYH224" s="35"/>
      <c r="NYI224" s="35"/>
      <c r="NYJ224" s="34"/>
      <c r="NYK224" s="34"/>
      <c r="NYL224" s="36"/>
      <c r="NYM224" s="36"/>
      <c r="NYN224" s="37"/>
      <c r="NYO224" s="37"/>
      <c r="NYP224" s="38"/>
      <c r="NYQ224" s="38"/>
      <c r="NYR224" s="39"/>
      <c r="NYS224" s="34"/>
      <c r="NYT224" s="34"/>
      <c r="NYU224" s="34"/>
      <c r="NYV224" s="35"/>
      <c r="NYW224" s="35"/>
      <c r="NYX224" s="35"/>
      <c r="NYY224" s="35"/>
      <c r="NYZ224" s="35"/>
      <c r="NZA224" s="34"/>
      <c r="NZB224" s="34"/>
      <c r="NZC224" s="36"/>
      <c r="NZD224" s="36"/>
      <c r="NZE224" s="37"/>
      <c r="NZF224" s="37"/>
      <c r="NZG224" s="38"/>
      <c r="NZH224" s="38"/>
      <c r="NZI224" s="39"/>
      <c r="NZJ224" s="34"/>
      <c r="NZK224" s="34"/>
      <c r="NZL224" s="34"/>
      <c r="NZM224" s="35"/>
      <c r="NZN224" s="35"/>
      <c r="NZO224" s="35"/>
      <c r="NZP224" s="35"/>
      <c r="NZQ224" s="35"/>
      <c r="NZR224" s="34"/>
      <c r="NZS224" s="34"/>
      <c r="NZT224" s="36"/>
      <c r="NZU224" s="36"/>
      <c r="NZV224" s="37"/>
      <c r="NZW224" s="37"/>
      <c r="NZX224" s="38"/>
      <c r="NZY224" s="38"/>
      <c r="NZZ224" s="39"/>
      <c r="OAA224" s="34"/>
      <c r="OAB224" s="34"/>
      <c r="OAC224" s="34"/>
      <c r="OAD224" s="35"/>
      <c r="OAE224" s="35"/>
      <c r="OAF224" s="35"/>
      <c r="OAG224" s="35"/>
      <c r="OAH224" s="35"/>
      <c r="OAI224" s="34"/>
      <c r="OAJ224" s="34"/>
      <c r="OAK224" s="36"/>
      <c r="OAL224" s="36"/>
      <c r="OAM224" s="37"/>
      <c r="OAN224" s="37"/>
      <c r="OAO224" s="38"/>
      <c r="OAP224" s="38"/>
      <c r="OAQ224" s="39"/>
      <c r="OAR224" s="34"/>
      <c r="OAS224" s="34"/>
      <c r="OAT224" s="34"/>
      <c r="OAU224" s="35"/>
      <c r="OAV224" s="35"/>
      <c r="OAW224" s="35"/>
      <c r="OAX224" s="35"/>
      <c r="OAY224" s="35"/>
      <c r="OAZ224" s="34"/>
      <c r="OBA224" s="34"/>
      <c r="OBB224" s="36"/>
      <c r="OBC224" s="36"/>
      <c r="OBD224" s="37"/>
      <c r="OBE224" s="37"/>
      <c r="OBF224" s="38"/>
      <c r="OBG224" s="38"/>
      <c r="OBH224" s="39"/>
      <c r="OBI224" s="34"/>
      <c r="OBJ224" s="34"/>
      <c r="OBK224" s="34"/>
      <c r="OBL224" s="35"/>
      <c r="OBM224" s="35"/>
      <c r="OBN224" s="35"/>
      <c r="OBO224" s="35"/>
      <c r="OBP224" s="35"/>
      <c r="OBQ224" s="34"/>
      <c r="OBR224" s="34"/>
      <c r="OBS224" s="36"/>
      <c r="OBT224" s="36"/>
      <c r="OBU224" s="37"/>
      <c r="OBV224" s="37"/>
      <c r="OBW224" s="38"/>
      <c r="OBX224" s="38"/>
      <c r="OBY224" s="39"/>
      <c r="OBZ224" s="34"/>
      <c r="OCA224" s="34"/>
      <c r="OCB224" s="34"/>
      <c r="OCC224" s="35"/>
      <c r="OCD224" s="35"/>
      <c r="OCE224" s="35"/>
      <c r="OCF224" s="35"/>
      <c r="OCG224" s="35"/>
      <c r="OCH224" s="34"/>
      <c r="OCI224" s="34"/>
      <c r="OCJ224" s="36"/>
      <c r="OCK224" s="36"/>
      <c r="OCL224" s="37"/>
      <c r="OCM224" s="37"/>
      <c r="OCN224" s="38"/>
      <c r="OCO224" s="38"/>
      <c r="OCP224" s="39"/>
      <c r="OCQ224" s="34"/>
      <c r="OCR224" s="34"/>
      <c r="OCS224" s="34"/>
      <c r="OCT224" s="35"/>
      <c r="OCU224" s="35"/>
      <c r="OCV224" s="35"/>
      <c r="OCW224" s="35"/>
      <c r="OCX224" s="35"/>
      <c r="OCY224" s="34"/>
      <c r="OCZ224" s="34"/>
      <c r="ODA224" s="36"/>
      <c r="ODB224" s="36"/>
      <c r="ODC224" s="37"/>
      <c r="ODD224" s="37"/>
      <c r="ODE224" s="38"/>
      <c r="ODF224" s="38"/>
      <c r="ODG224" s="39"/>
      <c r="ODH224" s="34"/>
      <c r="ODI224" s="34"/>
      <c r="ODJ224" s="34"/>
      <c r="ODK224" s="35"/>
      <c r="ODL224" s="35"/>
      <c r="ODM224" s="35"/>
      <c r="ODN224" s="35"/>
      <c r="ODO224" s="35"/>
      <c r="ODP224" s="34"/>
      <c r="ODQ224" s="34"/>
      <c r="ODR224" s="36"/>
      <c r="ODS224" s="36"/>
      <c r="ODT224" s="37"/>
      <c r="ODU224" s="37"/>
      <c r="ODV224" s="38"/>
      <c r="ODW224" s="38"/>
      <c r="ODX224" s="39"/>
      <c r="ODY224" s="34"/>
      <c r="ODZ224" s="34"/>
      <c r="OEA224" s="34"/>
      <c r="OEB224" s="35"/>
      <c r="OEC224" s="35"/>
      <c r="OED224" s="35"/>
      <c r="OEE224" s="35"/>
      <c r="OEF224" s="35"/>
      <c r="OEG224" s="34"/>
      <c r="OEH224" s="34"/>
      <c r="OEI224" s="36"/>
      <c r="OEJ224" s="36"/>
      <c r="OEK224" s="37"/>
      <c r="OEL224" s="37"/>
      <c r="OEM224" s="38"/>
      <c r="OEN224" s="38"/>
      <c r="OEO224" s="39"/>
      <c r="OEP224" s="34"/>
      <c r="OEQ224" s="34"/>
      <c r="OER224" s="34"/>
      <c r="OES224" s="35"/>
      <c r="OET224" s="35"/>
      <c r="OEU224" s="35"/>
      <c r="OEV224" s="35"/>
      <c r="OEW224" s="35"/>
      <c r="OEX224" s="34"/>
      <c r="OEY224" s="34"/>
      <c r="OEZ224" s="36"/>
      <c r="OFA224" s="36"/>
      <c r="OFB224" s="37"/>
      <c r="OFC224" s="37"/>
      <c r="OFD224" s="38"/>
      <c r="OFE224" s="38"/>
      <c r="OFF224" s="39"/>
      <c r="OFG224" s="34"/>
      <c r="OFH224" s="34"/>
      <c r="OFI224" s="34"/>
      <c r="OFJ224" s="35"/>
      <c r="OFK224" s="35"/>
      <c r="OFL224" s="35"/>
      <c r="OFM224" s="35"/>
      <c r="OFN224" s="35"/>
      <c r="OFO224" s="34"/>
      <c r="OFP224" s="34"/>
      <c r="OFQ224" s="36"/>
      <c r="OFR224" s="36"/>
      <c r="OFS224" s="37"/>
      <c r="OFT224" s="37"/>
      <c r="OFU224" s="38"/>
      <c r="OFV224" s="38"/>
      <c r="OFW224" s="39"/>
      <c r="OFX224" s="34"/>
      <c r="OFY224" s="34"/>
      <c r="OFZ224" s="34"/>
      <c r="OGA224" s="35"/>
      <c r="OGB224" s="35"/>
      <c r="OGC224" s="35"/>
      <c r="OGD224" s="35"/>
      <c r="OGE224" s="35"/>
      <c r="OGF224" s="34"/>
      <c r="OGG224" s="34"/>
      <c r="OGH224" s="36"/>
      <c r="OGI224" s="36"/>
      <c r="OGJ224" s="37"/>
      <c r="OGK224" s="37"/>
      <c r="OGL224" s="38"/>
      <c r="OGM224" s="38"/>
      <c r="OGN224" s="39"/>
      <c r="OGO224" s="34"/>
      <c r="OGP224" s="34"/>
      <c r="OGQ224" s="34"/>
      <c r="OGR224" s="35"/>
      <c r="OGS224" s="35"/>
      <c r="OGT224" s="35"/>
      <c r="OGU224" s="35"/>
      <c r="OGV224" s="35"/>
      <c r="OGW224" s="34"/>
      <c r="OGX224" s="34"/>
      <c r="OGY224" s="36"/>
      <c r="OGZ224" s="36"/>
      <c r="OHA224" s="37"/>
      <c r="OHB224" s="37"/>
      <c r="OHC224" s="38"/>
      <c r="OHD224" s="38"/>
      <c r="OHE224" s="39"/>
      <c r="OHF224" s="34"/>
      <c r="OHG224" s="34"/>
      <c r="OHH224" s="34"/>
      <c r="OHI224" s="35"/>
      <c r="OHJ224" s="35"/>
      <c r="OHK224" s="35"/>
      <c r="OHL224" s="35"/>
      <c r="OHM224" s="35"/>
      <c r="OHN224" s="34"/>
      <c r="OHO224" s="34"/>
      <c r="OHP224" s="36"/>
      <c r="OHQ224" s="36"/>
      <c r="OHR224" s="37"/>
      <c r="OHS224" s="37"/>
      <c r="OHT224" s="38"/>
      <c r="OHU224" s="38"/>
      <c r="OHV224" s="39"/>
      <c r="OHW224" s="34"/>
      <c r="OHX224" s="34"/>
      <c r="OHY224" s="34"/>
      <c r="OHZ224" s="35"/>
      <c r="OIA224" s="35"/>
      <c r="OIB224" s="35"/>
      <c r="OIC224" s="35"/>
      <c r="OID224" s="35"/>
      <c r="OIE224" s="34"/>
      <c r="OIF224" s="34"/>
      <c r="OIG224" s="36"/>
      <c r="OIH224" s="36"/>
      <c r="OII224" s="37"/>
      <c r="OIJ224" s="37"/>
      <c r="OIK224" s="38"/>
      <c r="OIL224" s="38"/>
      <c r="OIM224" s="39"/>
      <c r="OIN224" s="34"/>
      <c r="OIO224" s="34"/>
      <c r="OIP224" s="34"/>
      <c r="OIQ224" s="35"/>
      <c r="OIR224" s="35"/>
      <c r="OIS224" s="35"/>
      <c r="OIT224" s="35"/>
      <c r="OIU224" s="35"/>
      <c r="OIV224" s="34"/>
      <c r="OIW224" s="34"/>
      <c r="OIX224" s="36"/>
      <c r="OIY224" s="36"/>
      <c r="OIZ224" s="37"/>
      <c r="OJA224" s="37"/>
      <c r="OJB224" s="38"/>
      <c r="OJC224" s="38"/>
      <c r="OJD224" s="39"/>
      <c r="OJE224" s="34"/>
      <c r="OJF224" s="34"/>
      <c r="OJG224" s="34"/>
      <c r="OJH224" s="35"/>
      <c r="OJI224" s="35"/>
      <c r="OJJ224" s="35"/>
      <c r="OJK224" s="35"/>
      <c r="OJL224" s="35"/>
      <c r="OJM224" s="34"/>
      <c r="OJN224" s="34"/>
      <c r="OJO224" s="36"/>
      <c r="OJP224" s="36"/>
      <c r="OJQ224" s="37"/>
      <c r="OJR224" s="37"/>
      <c r="OJS224" s="38"/>
      <c r="OJT224" s="38"/>
      <c r="OJU224" s="39"/>
      <c r="OJV224" s="34"/>
      <c r="OJW224" s="34"/>
      <c r="OJX224" s="34"/>
      <c r="OJY224" s="35"/>
      <c r="OJZ224" s="35"/>
      <c r="OKA224" s="35"/>
      <c r="OKB224" s="35"/>
      <c r="OKC224" s="35"/>
      <c r="OKD224" s="34"/>
      <c r="OKE224" s="34"/>
      <c r="OKF224" s="36"/>
      <c r="OKG224" s="36"/>
      <c r="OKH224" s="37"/>
      <c r="OKI224" s="37"/>
      <c r="OKJ224" s="38"/>
      <c r="OKK224" s="38"/>
      <c r="OKL224" s="39"/>
      <c r="OKM224" s="34"/>
      <c r="OKN224" s="34"/>
      <c r="OKO224" s="34"/>
      <c r="OKP224" s="35"/>
      <c r="OKQ224" s="35"/>
      <c r="OKR224" s="35"/>
      <c r="OKS224" s="35"/>
      <c r="OKT224" s="35"/>
      <c r="OKU224" s="34"/>
      <c r="OKV224" s="34"/>
      <c r="OKW224" s="36"/>
      <c r="OKX224" s="36"/>
      <c r="OKY224" s="37"/>
      <c r="OKZ224" s="37"/>
      <c r="OLA224" s="38"/>
      <c r="OLB224" s="38"/>
      <c r="OLC224" s="39"/>
      <c r="OLD224" s="34"/>
      <c r="OLE224" s="34"/>
      <c r="OLF224" s="34"/>
      <c r="OLG224" s="35"/>
      <c r="OLH224" s="35"/>
      <c r="OLI224" s="35"/>
      <c r="OLJ224" s="35"/>
      <c r="OLK224" s="35"/>
      <c r="OLL224" s="34"/>
      <c r="OLM224" s="34"/>
      <c r="OLN224" s="36"/>
      <c r="OLO224" s="36"/>
      <c r="OLP224" s="37"/>
      <c r="OLQ224" s="37"/>
      <c r="OLR224" s="38"/>
      <c r="OLS224" s="38"/>
      <c r="OLT224" s="39"/>
      <c r="OLU224" s="34"/>
      <c r="OLV224" s="34"/>
      <c r="OLW224" s="34"/>
      <c r="OLX224" s="35"/>
      <c r="OLY224" s="35"/>
      <c r="OLZ224" s="35"/>
      <c r="OMA224" s="35"/>
      <c r="OMB224" s="35"/>
      <c r="OMC224" s="34"/>
      <c r="OMD224" s="34"/>
      <c r="OME224" s="36"/>
      <c r="OMF224" s="36"/>
      <c r="OMG224" s="37"/>
      <c r="OMH224" s="37"/>
      <c r="OMI224" s="38"/>
      <c r="OMJ224" s="38"/>
      <c r="OMK224" s="39"/>
      <c r="OML224" s="34"/>
      <c r="OMM224" s="34"/>
      <c r="OMN224" s="34"/>
      <c r="OMO224" s="35"/>
      <c r="OMP224" s="35"/>
      <c r="OMQ224" s="35"/>
      <c r="OMR224" s="35"/>
      <c r="OMS224" s="35"/>
      <c r="OMT224" s="34"/>
      <c r="OMU224" s="34"/>
      <c r="OMV224" s="36"/>
      <c r="OMW224" s="36"/>
      <c r="OMX224" s="37"/>
      <c r="OMY224" s="37"/>
      <c r="OMZ224" s="38"/>
      <c r="ONA224" s="38"/>
      <c r="ONB224" s="39"/>
      <c r="ONC224" s="34"/>
      <c r="OND224" s="34"/>
      <c r="ONE224" s="34"/>
      <c r="ONF224" s="35"/>
      <c r="ONG224" s="35"/>
      <c r="ONH224" s="35"/>
      <c r="ONI224" s="35"/>
      <c r="ONJ224" s="35"/>
      <c r="ONK224" s="34"/>
      <c r="ONL224" s="34"/>
      <c r="ONM224" s="36"/>
      <c r="ONN224" s="36"/>
      <c r="ONO224" s="37"/>
      <c r="ONP224" s="37"/>
      <c r="ONQ224" s="38"/>
      <c r="ONR224" s="38"/>
      <c r="ONS224" s="39"/>
      <c r="ONT224" s="34"/>
      <c r="ONU224" s="34"/>
      <c r="ONV224" s="34"/>
      <c r="ONW224" s="35"/>
      <c r="ONX224" s="35"/>
      <c r="ONY224" s="35"/>
      <c r="ONZ224" s="35"/>
      <c r="OOA224" s="35"/>
      <c r="OOB224" s="34"/>
      <c r="OOC224" s="34"/>
      <c r="OOD224" s="36"/>
      <c r="OOE224" s="36"/>
      <c r="OOF224" s="37"/>
      <c r="OOG224" s="37"/>
      <c r="OOH224" s="38"/>
      <c r="OOI224" s="38"/>
      <c r="OOJ224" s="39"/>
      <c r="OOK224" s="34"/>
      <c r="OOL224" s="34"/>
      <c r="OOM224" s="34"/>
      <c r="OON224" s="35"/>
      <c r="OOO224" s="35"/>
      <c r="OOP224" s="35"/>
      <c r="OOQ224" s="35"/>
      <c r="OOR224" s="35"/>
      <c r="OOS224" s="34"/>
      <c r="OOT224" s="34"/>
      <c r="OOU224" s="36"/>
      <c r="OOV224" s="36"/>
      <c r="OOW224" s="37"/>
      <c r="OOX224" s="37"/>
      <c r="OOY224" s="38"/>
      <c r="OOZ224" s="38"/>
      <c r="OPA224" s="39"/>
      <c r="OPB224" s="34"/>
      <c r="OPC224" s="34"/>
      <c r="OPD224" s="34"/>
      <c r="OPE224" s="35"/>
      <c r="OPF224" s="35"/>
      <c r="OPG224" s="35"/>
      <c r="OPH224" s="35"/>
      <c r="OPI224" s="35"/>
      <c r="OPJ224" s="34"/>
      <c r="OPK224" s="34"/>
      <c r="OPL224" s="36"/>
      <c r="OPM224" s="36"/>
      <c r="OPN224" s="37"/>
      <c r="OPO224" s="37"/>
      <c r="OPP224" s="38"/>
      <c r="OPQ224" s="38"/>
      <c r="OPR224" s="39"/>
      <c r="OPS224" s="34"/>
      <c r="OPT224" s="34"/>
      <c r="OPU224" s="34"/>
      <c r="OPV224" s="35"/>
      <c r="OPW224" s="35"/>
      <c r="OPX224" s="35"/>
      <c r="OPY224" s="35"/>
      <c r="OPZ224" s="35"/>
      <c r="OQA224" s="34"/>
      <c r="OQB224" s="34"/>
      <c r="OQC224" s="36"/>
      <c r="OQD224" s="36"/>
      <c r="OQE224" s="37"/>
      <c r="OQF224" s="37"/>
      <c r="OQG224" s="38"/>
      <c r="OQH224" s="38"/>
      <c r="OQI224" s="39"/>
      <c r="OQJ224" s="34"/>
      <c r="OQK224" s="34"/>
      <c r="OQL224" s="34"/>
      <c r="OQM224" s="35"/>
      <c r="OQN224" s="35"/>
      <c r="OQO224" s="35"/>
      <c r="OQP224" s="35"/>
      <c r="OQQ224" s="35"/>
      <c r="OQR224" s="34"/>
      <c r="OQS224" s="34"/>
      <c r="OQT224" s="36"/>
      <c r="OQU224" s="36"/>
      <c r="OQV224" s="37"/>
      <c r="OQW224" s="37"/>
      <c r="OQX224" s="38"/>
      <c r="OQY224" s="38"/>
      <c r="OQZ224" s="39"/>
      <c r="ORA224" s="34"/>
      <c r="ORB224" s="34"/>
      <c r="ORC224" s="34"/>
      <c r="ORD224" s="35"/>
      <c r="ORE224" s="35"/>
      <c r="ORF224" s="35"/>
      <c r="ORG224" s="35"/>
      <c r="ORH224" s="35"/>
      <c r="ORI224" s="34"/>
      <c r="ORJ224" s="34"/>
      <c r="ORK224" s="36"/>
      <c r="ORL224" s="36"/>
      <c r="ORM224" s="37"/>
      <c r="ORN224" s="37"/>
      <c r="ORO224" s="38"/>
      <c r="ORP224" s="38"/>
      <c r="ORQ224" s="39"/>
      <c r="ORR224" s="34"/>
      <c r="ORS224" s="34"/>
      <c r="ORT224" s="34"/>
      <c r="ORU224" s="35"/>
      <c r="ORV224" s="35"/>
      <c r="ORW224" s="35"/>
      <c r="ORX224" s="35"/>
      <c r="ORY224" s="35"/>
      <c r="ORZ224" s="34"/>
      <c r="OSA224" s="34"/>
      <c r="OSB224" s="36"/>
      <c r="OSC224" s="36"/>
      <c r="OSD224" s="37"/>
      <c r="OSE224" s="37"/>
      <c r="OSF224" s="38"/>
      <c r="OSG224" s="38"/>
      <c r="OSH224" s="39"/>
      <c r="OSI224" s="34"/>
      <c r="OSJ224" s="34"/>
      <c r="OSK224" s="34"/>
      <c r="OSL224" s="35"/>
      <c r="OSM224" s="35"/>
      <c r="OSN224" s="35"/>
      <c r="OSO224" s="35"/>
      <c r="OSP224" s="35"/>
      <c r="OSQ224" s="34"/>
      <c r="OSR224" s="34"/>
      <c r="OSS224" s="36"/>
      <c r="OST224" s="36"/>
      <c r="OSU224" s="37"/>
      <c r="OSV224" s="37"/>
      <c r="OSW224" s="38"/>
      <c r="OSX224" s="38"/>
      <c r="OSY224" s="39"/>
      <c r="OSZ224" s="34"/>
      <c r="OTA224" s="34"/>
      <c r="OTB224" s="34"/>
      <c r="OTC224" s="35"/>
      <c r="OTD224" s="35"/>
      <c r="OTE224" s="35"/>
      <c r="OTF224" s="35"/>
      <c r="OTG224" s="35"/>
      <c r="OTH224" s="34"/>
      <c r="OTI224" s="34"/>
      <c r="OTJ224" s="36"/>
      <c r="OTK224" s="36"/>
      <c r="OTL224" s="37"/>
      <c r="OTM224" s="37"/>
      <c r="OTN224" s="38"/>
      <c r="OTO224" s="38"/>
      <c r="OTP224" s="39"/>
      <c r="OTQ224" s="34"/>
      <c r="OTR224" s="34"/>
      <c r="OTS224" s="34"/>
      <c r="OTT224" s="35"/>
      <c r="OTU224" s="35"/>
      <c r="OTV224" s="35"/>
      <c r="OTW224" s="35"/>
      <c r="OTX224" s="35"/>
      <c r="OTY224" s="34"/>
      <c r="OTZ224" s="34"/>
      <c r="OUA224" s="36"/>
      <c r="OUB224" s="36"/>
      <c r="OUC224" s="37"/>
      <c r="OUD224" s="37"/>
      <c r="OUE224" s="38"/>
      <c r="OUF224" s="38"/>
      <c r="OUG224" s="39"/>
      <c r="OUH224" s="34"/>
      <c r="OUI224" s="34"/>
      <c r="OUJ224" s="34"/>
      <c r="OUK224" s="35"/>
      <c r="OUL224" s="35"/>
      <c r="OUM224" s="35"/>
      <c r="OUN224" s="35"/>
      <c r="OUO224" s="35"/>
      <c r="OUP224" s="34"/>
      <c r="OUQ224" s="34"/>
      <c r="OUR224" s="36"/>
      <c r="OUS224" s="36"/>
      <c r="OUT224" s="37"/>
      <c r="OUU224" s="37"/>
      <c r="OUV224" s="38"/>
      <c r="OUW224" s="38"/>
      <c r="OUX224" s="39"/>
      <c r="OUY224" s="34"/>
      <c r="OUZ224" s="34"/>
      <c r="OVA224" s="34"/>
      <c r="OVB224" s="35"/>
      <c r="OVC224" s="35"/>
      <c r="OVD224" s="35"/>
      <c r="OVE224" s="35"/>
      <c r="OVF224" s="35"/>
      <c r="OVG224" s="34"/>
      <c r="OVH224" s="34"/>
      <c r="OVI224" s="36"/>
      <c r="OVJ224" s="36"/>
      <c r="OVK224" s="37"/>
      <c r="OVL224" s="37"/>
      <c r="OVM224" s="38"/>
      <c r="OVN224" s="38"/>
      <c r="OVO224" s="39"/>
      <c r="OVP224" s="34"/>
      <c r="OVQ224" s="34"/>
      <c r="OVR224" s="34"/>
      <c r="OVS224" s="35"/>
      <c r="OVT224" s="35"/>
      <c r="OVU224" s="35"/>
      <c r="OVV224" s="35"/>
      <c r="OVW224" s="35"/>
      <c r="OVX224" s="34"/>
      <c r="OVY224" s="34"/>
      <c r="OVZ224" s="36"/>
      <c r="OWA224" s="36"/>
      <c r="OWB224" s="37"/>
      <c r="OWC224" s="37"/>
      <c r="OWD224" s="38"/>
      <c r="OWE224" s="38"/>
      <c r="OWF224" s="39"/>
      <c r="OWG224" s="34"/>
      <c r="OWH224" s="34"/>
      <c r="OWI224" s="34"/>
      <c r="OWJ224" s="35"/>
      <c r="OWK224" s="35"/>
      <c r="OWL224" s="35"/>
      <c r="OWM224" s="35"/>
      <c r="OWN224" s="35"/>
      <c r="OWO224" s="34"/>
      <c r="OWP224" s="34"/>
      <c r="OWQ224" s="36"/>
      <c r="OWR224" s="36"/>
      <c r="OWS224" s="37"/>
      <c r="OWT224" s="37"/>
      <c r="OWU224" s="38"/>
      <c r="OWV224" s="38"/>
      <c r="OWW224" s="39"/>
      <c r="OWX224" s="34"/>
      <c r="OWY224" s="34"/>
      <c r="OWZ224" s="34"/>
      <c r="OXA224" s="35"/>
      <c r="OXB224" s="35"/>
      <c r="OXC224" s="35"/>
      <c r="OXD224" s="35"/>
      <c r="OXE224" s="35"/>
      <c r="OXF224" s="34"/>
      <c r="OXG224" s="34"/>
      <c r="OXH224" s="36"/>
      <c r="OXI224" s="36"/>
      <c r="OXJ224" s="37"/>
      <c r="OXK224" s="37"/>
      <c r="OXL224" s="38"/>
      <c r="OXM224" s="38"/>
      <c r="OXN224" s="39"/>
      <c r="OXO224" s="34"/>
      <c r="OXP224" s="34"/>
      <c r="OXQ224" s="34"/>
      <c r="OXR224" s="35"/>
      <c r="OXS224" s="35"/>
      <c r="OXT224" s="35"/>
      <c r="OXU224" s="35"/>
      <c r="OXV224" s="35"/>
      <c r="OXW224" s="34"/>
      <c r="OXX224" s="34"/>
      <c r="OXY224" s="36"/>
      <c r="OXZ224" s="36"/>
      <c r="OYA224" s="37"/>
      <c r="OYB224" s="37"/>
      <c r="OYC224" s="38"/>
      <c r="OYD224" s="38"/>
      <c r="OYE224" s="39"/>
      <c r="OYF224" s="34"/>
      <c r="OYG224" s="34"/>
      <c r="OYH224" s="34"/>
      <c r="OYI224" s="35"/>
      <c r="OYJ224" s="35"/>
      <c r="OYK224" s="35"/>
      <c r="OYL224" s="35"/>
      <c r="OYM224" s="35"/>
      <c r="OYN224" s="34"/>
      <c r="OYO224" s="34"/>
      <c r="OYP224" s="36"/>
      <c r="OYQ224" s="36"/>
      <c r="OYR224" s="37"/>
      <c r="OYS224" s="37"/>
      <c r="OYT224" s="38"/>
      <c r="OYU224" s="38"/>
      <c r="OYV224" s="39"/>
      <c r="OYW224" s="34"/>
      <c r="OYX224" s="34"/>
      <c r="OYY224" s="34"/>
      <c r="OYZ224" s="35"/>
      <c r="OZA224" s="35"/>
      <c r="OZB224" s="35"/>
      <c r="OZC224" s="35"/>
      <c r="OZD224" s="35"/>
      <c r="OZE224" s="34"/>
      <c r="OZF224" s="34"/>
      <c r="OZG224" s="36"/>
      <c r="OZH224" s="36"/>
      <c r="OZI224" s="37"/>
      <c r="OZJ224" s="37"/>
      <c r="OZK224" s="38"/>
      <c r="OZL224" s="38"/>
      <c r="OZM224" s="39"/>
      <c r="OZN224" s="34"/>
      <c r="OZO224" s="34"/>
      <c r="OZP224" s="34"/>
      <c r="OZQ224" s="35"/>
      <c r="OZR224" s="35"/>
      <c r="OZS224" s="35"/>
      <c r="OZT224" s="35"/>
      <c r="OZU224" s="35"/>
      <c r="OZV224" s="34"/>
      <c r="OZW224" s="34"/>
      <c r="OZX224" s="36"/>
      <c r="OZY224" s="36"/>
      <c r="OZZ224" s="37"/>
      <c r="PAA224" s="37"/>
      <c r="PAB224" s="38"/>
      <c r="PAC224" s="38"/>
      <c r="PAD224" s="39"/>
      <c r="PAE224" s="34"/>
      <c r="PAF224" s="34"/>
      <c r="PAG224" s="34"/>
      <c r="PAH224" s="35"/>
      <c r="PAI224" s="35"/>
      <c r="PAJ224" s="35"/>
      <c r="PAK224" s="35"/>
      <c r="PAL224" s="35"/>
      <c r="PAM224" s="34"/>
      <c r="PAN224" s="34"/>
      <c r="PAO224" s="36"/>
      <c r="PAP224" s="36"/>
      <c r="PAQ224" s="37"/>
      <c r="PAR224" s="37"/>
      <c r="PAS224" s="38"/>
      <c r="PAT224" s="38"/>
      <c r="PAU224" s="39"/>
      <c r="PAV224" s="34"/>
      <c r="PAW224" s="34"/>
      <c r="PAX224" s="34"/>
      <c r="PAY224" s="35"/>
      <c r="PAZ224" s="35"/>
      <c r="PBA224" s="35"/>
      <c r="PBB224" s="35"/>
      <c r="PBC224" s="35"/>
      <c r="PBD224" s="34"/>
      <c r="PBE224" s="34"/>
      <c r="PBF224" s="36"/>
      <c r="PBG224" s="36"/>
      <c r="PBH224" s="37"/>
      <c r="PBI224" s="37"/>
      <c r="PBJ224" s="38"/>
      <c r="PBK224" s="38"/>
      <c r="PBL224" s="39"/>
      <c r="PBM224" s="34"/>
      <c r="PBN224" s="34"/>
      <c r="PBO224" s="34"/>
      <c r="PBP224" s="35"/>
      <c r="PBQ224" s="35"/>
      <c r="PBR224" s="35"/>
      <c r="PBS224" s="35"/>
      <c r="PBT224" s="35"/>
      <c r="PBU224" s="34"/>
      <c r="PBV224" s="34"/>
      <c r="PBW224" s="36"/>
      <c r="PBX224" s="36"/>
      <c r="PBY224" s="37"/>
      <c r="PBZ224" s="37"/>
      <c r="PCA224" s="38"/>
      <c r="PCB224" s="38"/>
      <c r="PCC224" s="39"/>
      <c r="PCD224" s="34"/>
      <c r="PCE224" s="34"/>
      <c r="PCF224" s="34"/>
      <c r="PCG224" s="35"/>
      <c r="PCH224" s="35"/>
      <c r="PCI224" s="35"/>
      <c r="PCJ224" s="35"/>
      <c r="PCK224" s="35"/>
      <c r="PCL224" s="34"/>
      <c r="PCM224" s="34"/>
      <c r="PCN224" s="36"/>
      <c r="PCO224" s="36"/>
      <c r="PCP224" s="37"/>
      <c r="PCQ224" s="37"/>
      <c r="PCR224" s="38"/>
      <c r="PCS224" s="38"/>
      <c r="PCT224" s="39"/>
      <c r="PCU224" s="34"/>
      <c r="PCV224" s="34"/>
      <c r="PCW224" s="34"/>
      <c r="PCX224" s="35"/>
      <c r="PCY224" s="35"/>
      <c r="PCZ224" s="35"/>
      <c r="PDA224" s="35"/>
      <c r="PDB224" s="35"/>
      <c r="PDC224" s="34"/>
      <c r="PDD224" s="34"/>
      <c r="PDE224" s="36"/>
      <c r="PDF224" s="36"/>
      <c r="PDG224" s="37"/>
      <c r="PDH224" s="37"/>
      <c r="PDI224" s="38"/>
      <c r="PDJ224" s="38"/>
      <c r="PDK224" s="39"/>
      <c r="PDL224" s="34"/>
      <c r="PDM224" s="34"/>
      <c r="PDN224" s="34"/>
      <c r="PDO224" s="35"/>
      <c r="PDP224" s="35"/>
      <c r="PDQ224" s="35"/>
      <c r="PDR224" s="35"/>
      <c r="PDS224" s="35"/>
      <c r="PDT224" s="34"/>
      <c r="PDU224" s="34"/>
      <c r="PDV224" s="36"/>
      <c r="PDW224" s="36"/>
      <c r="PDX224" s="37"/>
      <c r="PDY224" s="37"/>
      <c r="PDZ224" s="38"/>
      <c r="PEA224" s="38"/>
      <c r="PEB224" s="39"/>
      <c r="PEC224" s="34"/>
      <c r="PED224" s="34"/>
      <c r="PEE224" s="34"/>
      <c r="PEF224" s="35"/>
      <c r="PEG224" s="35"/>
      <c r="PEH224" s="35"/>
      <c r="PEI224" s="35"/>
      <c r="PEJ224" s="35"/>
      <c r="PEK224" s="34"/>
      <c r="PEL224" s="34"/>
      <c r="PEM224" s="36"/>
      <c r="PEN224" s="36"/>
      <c r="PEO224" s="37"/>
      <c r="PEP224" s="37"/>
      <c r="PEQ224" s="38"/>
      <c r="PER224" s="38"/>
      <c r="PES224" s="39"/>
      <c r="PET224" s="34"/>
      <c r="PEU224" s="34"/>
      <c r="PEV224" s="34"/>
      <c r="PEW224" s="35"/>
      <c r="PEX224" s="35"/>
      <c r="PEY224" s="35"/>
      <c r="PEZ224" s="35"/>
      <c r="PFA224" s="35"/>
      <c r="PFB224" s="34"/>
      <c r="PFC224" s="34"/>
      <c r="PFD224" s="36"/>
      <c r="PFE224" s="36"/>
      <c r="PFF224" s="37"/>
      <c r="PFG224" s="37"/>
      <c r="PFH224" s="38"/>
      <c r="PFI224" s="38"/>
      <c r="PFJ224" s="39"/>
      <c r="PFK224" s="34"/>
      <c r="PFL224" s="34"/>
      <c r="PFM224" s="34"/>
      <c r="PFN224" s="35"/>
      <c r="PFO224" s="35"/>
      <c r="PFP224" s="35"/>
      <c r="PFQ224" s="35"/>
      <c r="PFR224" s="35"/>
      <c r="PFS224" s="34"/>
      <c r="PFT224" s="34"/>
      <c r="PFU224" s="36"/>
      <c r="PFV224" s="36"/>
      <c r="PFW224" s="37"/>
      <c r="PFX224" s="37"/>
      <c r="PFY224" s="38"/>
      <c r="PFZ224" s="38"/>
      <c r="PGA224" s="39"/>
      <c r="PGB224" s="34"/>
      <c r="PGC224" s="34"/>
      <c r="PGD224" s="34"/>
      <c r="PGE224" s="35"/>
      <c r="PGF224" s="35"/>
      <c r="PGG224" s="35"/>
      <c r="PGH224" s="35"/>
      <c r="PGI224" s="35"/>
      <c r="PGJ224" s="34"/>
      <c r="PGK224" s="34"/>
      <c r="PGL224" s="36"/>
      <c r="PGM224" s="36"/>
      <c r="PGN224" s="37"/>
      <c r="PGO224" s="37"/>
      <c r="PGP224" s="38"/>
      <c r="PGQ224" s="38"/>
      <c r="PGR224" s="39"/>
      <c r="PGS224" s="34"/>
      <c r="PGT224" s="34"/>
      <c r="PGU224" s="34"/>
      <c r="PGV224" s="35"/>
      <c r="PGW224" s="35"/>
      <c r="PGX224" s="35"/>
      <c r="PGY224" s="35"/>
      <c r="PGZ224" s="35"/>
      <c r="PHA224" s="34"/>
      <c r="PHB224" s="34"/>
      <c r="PHC224" s="36"/>
      <c r="PHD224" s="36"/>
      <c r="PHE224" s="37"/>
      <c r="PHF224" s="37"/>
      <c r="PHG224" s="38"/>
      <c r="PHH224" s="38"/>
      <c r="PHI224" s="39"/>
      <c r="PHJ224" s="34"/>
      <c r="PHK224" s="34"/>
      <c r="PHL224" s="34"/>
      <c r="PHM224" s="35"/>
      <c r="PHN224" s="35"/>
      <c r="PHO224" s="35"/>
      <c r="PHP224" s="35"/>
      <c r="PHQ224" s="35"/>
      <c r="PHR224" s="34"/>
      <c r="PHS224" s="34"/>
      <c r="PHT224" s="36"/>
      <c r="PHU224" s="36"/>
      <c r="PHV224" s="37"/>
      <c r="PHW224" s="37"/>
      <c r="PHX224" s="38"/>
      <c r="PHY224" s="38"/>
      <c r="PHZ224" s="39"/>
      <c r="PIA224" s="34"/>
      <c r="PIB224" s="34"/>
      <c r="PIC224" s="34"/>
      <c r="PID224" s="35"/>
      <c r="PIE224" s="35"/>
      <c r="PIF224" s="35"/>
      <c r="PIG224" s="35"/>
      <c r="PIH224" s="35"/>
      <c r="PII224" s="34"/>
      <c r="PIJ224" s="34"/>
      <c r="PIK224" s="36"/>
      <c r="PIL224" s="36"/>
      <c r="PIM224" s="37"/>
      <c r="PIN224" s="37"/>
      <c r="PIO224" s="38"/>
      <c r="PIP224" s="38"/>
      <c r="PIQ224" s="39"/>
      <c r="PIR224" s="34"/>
      <c r="PIS224" s="34"/>
      <c r="PIT224" s="34"/>
      <c r="PIU224" s="35"/>
      <c r="PIV224" s="35"/>
      <c r="PIW224" s="35"/>
      <c r="PIX224" s="35"/>
      <c r="PIY224" s="35"/>
      <c r="PIZ224" s="34"/>
      <c r="PJA224" s="34"/>
      <c r="PJB224" s="36"/>
      <c r="PJC224" s="36"/>
      <c r="PJD224" s="37"/>
      <c r="PJE224" s="37"/>
      <c r="PJF224" s="38"/>
      <c r="PJG224" s="38"/>
      <c r="PJH224" s="39"/>
      <c r="PJI224" s="34"/>
      <c r="PJJ224" s="34"/>
      <c r="PJK224" s="34"/>
      <c r="PJL224" s="35"/>
      <c r="PJM224" s="35"/>
      <c r="PJN224" s="35"/>
      <c r="PJO224" s="35"/>
      <c r="PJP224" s="35"/>
      <c r="PJQ224" s="34"/>
      <c r="PJR224" s="34"/>
      <c r="PJS224" s="36"/>
      <c r="PJT224" s="36"/>
      <c r="PJU224" s="37"/>
      <c r="PJV224" s="37"/>
      <c r="PJW224" s="38"/>
      <c r="PJX224" s="38"/>
      <c r="PJY224" s="39"/>
      <c r="PJZ224" s="34"/>
      <c r="PKA224" s="34"/>
      <c r="PKB224" s="34"/>
      <c r="PKC224" s="35"/>
      <c r="PKD224" s="35"/>
      <c r="PKE224" s="35"/>
      <c r="PKF224" s="35"/>
      <c r="PKG224" s="35"/>
      <c r="PKH224" s="34"/>
      <c r="PKI224" s="34"/>
      <c r="PKJ224" s="36"/>
      <c r="PKK224" s="36"/>
      <c r="PKL224" s="37"/>
      <c r="PKM224" s="37"/>
      <c r="PKN224" s="38"/>
      <c r="PKO224" s="38"/>
      <c r="PKP224" s="39"/>
      <c r="PKQ224" s="34"/>
      <c r="PKR224" s="34"/>
      <c r="PKS224" s="34"/>
      <c r="PKT224" s="35"/>
      <c r="PKU224" s="35"/>
      <c r="PKV224" s="35"/>
      <c r="PKW224" s="35"/>
      <c r="PKX224" s="35"/>
      <c r="PKY224" s="34"/>
      <c r="PKZ224" s="34"/>
      <c r="PLA224" s="36"/>
      <c r="PLB224" s="36"/>
      <c r="PLC224" s="37"/>
      <c r="PLD224" s="37"/>
      <c r="PLE224" s="38"/>
      <c r="PLF224" s="38"/>
      <c r="PLG224" s="39"/>
      <c r="PLH224" s="34"/>
      <c r="PLI224" s="34"/>
      <c r="PLJ224" s="34"/>
      <c r="PLK224" s="35"/>
      <c r="PLL224" s="35"/>
      <c r="PLM224" s="35"/>
      <c r="PLN224" s="35"/>
      <c r="PLO224" s="35"/>
      <c r="PLP224" s="34"/>
      <c r="PLQ224" s="34"/>
      <c r="PLR224" s="36"/>
      <c r="PLS224" s="36"/>
      <c r="PLT224" s="37"/>
      <c r="PLU224" s="37"/>
      <c r="PLV224" s="38"/>
      <c r="PLW224" s="38"/>
      <c r="PLX224" s="39"/>
      <c r="PLY224" s="34"/>
      <c r="PLZ224" s="34"/>
      <c r="PMA224" s="34"/>
      <c r="PMB224" s="35"/>
      <c r="PMC224" s="35"/>
      <c r="PMD224" s="35"/>
      <c r="PME224" s="35"/>
      <c r="PMF224" s="35"/>
      <c r="PMG224" s="34"/>
      <c r="PMH224" s="34"/>
      <c r="PMI224" s="36"/>
      <c r="PMJ224" s="36"/>
      <c r="PMK224" s="37"/>
      <c r="PML224" s="37"/>
      <c r="PMM224" s="38"/>
      <c r="PMN224" s="38"/>
      <c r="PMO224" s="39"/>
      <c r="PMP224" s="34"/>
      <c r="PMQ224" s="34"/>
      <c r="PMR224" s="34"/>
      <c r="PMS224" s="35"/>
      <c r="PMT224" s="35"/>
      <c r="PMU224" s="35"/>
      <c r="PMV224" s="35"/>
      <c r="PMW224" s="35"/>
      <c r="PMX224" s="34"/>
      <c r="PMY224" s="34"/>
      <c r="PMZ224" s="36"/>
      <c r="PNA224" s="36"/>
      <c r="PNB224" s="37"/>
      <c r="PNC224" s="37"/>
      <c r="PND224" s="38"/>
      <c r="PNE224" s="38"/>
      <c r="PNF224" s="39"/>
      <c r="PNG224" s="34"/>
      <c r="PNH224" s="34"/>
      <c r="PNI224" s="34"/>
      <c r="PNJ224" s="35"/>
      <c r="PNK224" s="35"/>
      <c r="PNL224" s="35"/>
      <c r="PNM224" s="35"/>
      <c r="PNN224" s="35"/>
      <c r="PNO224" s="34"/>
      <c r="PNP224" s="34"/>
      <c r="PNQ224" s="36"/>
      <c r="PNR224" s="36"/>
      <c r="PNS224" s="37"/>
      <c r="PNT224" s="37"/>
      <c r="PNU224" s="38"/>
      <c r="PNV224" s="38"/>
      <c r="PNW224" s="39"/>
      <c r="PNX224" s="34"/>
      <c r="PNY224" s="34"/>
      <c r="PNZ224" s="34"/>
      <c r="POA224" s="35"/>
      <c r="POB224" s="35"/>
      <c r="POC224" s="35"/>
      <c r="POD224" s="35"/>
      <c r="POE224" s="35"/>
      <c r="POF224" s="34"/>
      <c r="POG224" s="34"/>
      <c r="POH224" s="36"/>
      <c r="POI224" s="36"/>
      <c r="POJ224" s="37"/>
      <c r="POK224" s="37"/>
      <c r="POL224" s="38"/>
      <c r="POM224" s="38"/>
      <c r="PON224" s="39"/>
      <c r="POO224" s="34"/>
      <c r="POP224" s="34"/>
      <c r="POQ224" s="34"/>
      <c r="POR224" s="35"/>
      <c r="POS224" s="35"/>
      <c r="POT224" s="35"/>
      <c r="POU224" s="35"/>
      <c r="POV224" s="35"/>
      <c r="POW224" s="34"/>
      <c r="POX224" s="34"/>
      <c r="POY224" s="36"/>
      <c r="POZ224" s="36"/>
      <c r="PPA224" s="37"/>
      <c r="PPB224" s="37"/>
      <c r="PPC224" s="38"/>
      <c r="PPD224" s="38"/>
      <c r="PPE224" s="39"/>
      <c r="PPF224" s="34"/>
      <c r="PPG224" s="34"/>
      <c r="PPH224" s="34"/>
      <c r="PPI224" s="35"/>
      <c r="PPJ224" s="35"/>
      <c r="PPK224" s="35"/>
      <c r="PPL224" s="35"/>
      <c r="PPM224" s="35"/>
      <c r="PPN224" s="34"/>
      <c r="PPO224" s="34"/>
      <c r="PPP224" s="36"/>
      <c r="PPQ224" s="36"/>
      <c r="PPR224" s="37"/>
      <c r="PPS224" s="37"/>
      <c r="PPT224" s="38"/>
      <c r="PPU224" s="38"/>
      <c r="PPV224" s="39"/>
      <c r="PPW224" s="34"/>
      <c r="PPX224" s="34"/>
      <c r="PPY224" s="34"/>
      <c r="PPZ224" s="35"/>
      <c r="PQA224" s="35"/>
      <c r="PQB224" s="35"/>
      <c r="PQC224" s="35"/>
      <c r="PQD224" s="35"/>
      <c r="PQE224" s="34"/>
      <c r="PQF224" s="34"/>
      <c r="PQG224" s="36"/>
      <c r="PQH224" s="36"/>
      <c r="PQI224" s="37"/>
      <c r="PQJ224" s="37"/>
      <c r="PQK224" s="38"/>
      <c r="PQL224" s="38"/>
      <c r="PQM224" s="39"/>
      <c r="PQN224" s="34"/>
      <c r="PQO224" s="34"/>
      <c r="PQP224" s="34"/>
      <c r="PQQ224" s="35"/>
      <c r="PQR224" s="35"/>
      <c r="PQS224" s="35"/>
      <c r="PQT224" s="35"/>
      <c r="PQU224" s="35"/>
      <c r="PQV224" s="34"/>
      <c r="PQW224" s="34"/>
      <c r="PQX224" s="36"/>
      <c r="PQY224" s="36"/>
      <c r="PQZ224" s="37"/>
      <c r="PRA224" s="37"/>
      <c r="PRB224" s="38"/>
      <c r="PRC224" s="38"/>
      <c r="PRD224" s="39"/>
      <c r="PRE224" s="34"/>
      <c r="PRF224" s="34"/>
      <c r="PRG224" s="34"/>
      <c r="PRH224" s="35"/>
      <c r="PRI224" s="35"/>
      <c r="PRJ224" s="35"/>
      <c r="PRK224" s="35"/>
      <c r="PRL224" s="35"/>
      <c r="PRM224" s="34"/>
      <c r="PRN224" s="34"/>
      <c r="PRO224" s="36"/>
      <c r="PRP224" s="36"/>
      <c r="PRQ224" s="37"/>
      <c r="PRR224" s="37"/>
      <c r="PRS224" s="38"/>
      <c r="PRT224" s="38"/>
      <c r="PRU224" s="39"/>
      <c r="PRV224" s="34"/>
      <c r="PRW224" s="34"/>
      <c r="PRX224" s="34"/>
      <c r="PRY224" s="35"/>
      <c r="PRZ224" s="35"/>
      <c r="PSA224" s="35"/>
      <c r="PSB224" s="35"/>
      <c r="PSC224" s="35"/>
      <c r="PSD224" s="34"/>
      <c r="PSE224" s="34"/>
      <c r="PSF224" s="36"/>
      <c r="PSG224" s="36"/>
      <c r="PSH224" s="37"/>
      <c r="PSI224" s="37"/>
      <c r="PSJ224" s="38"/>
      <c r="PSK224" s="38"/>
      <c r="PSL224" s="39"/>
      <c r="PSM224" s="34"/>
      <c r="PSN224" s="34"/>
      <c r="PSO224" s="34"/>
      <c r="PSP224" s="35"/>
      <c r="PSQ224" s="35"/>
      <c r="PSR224" s="35"/>
      <c r="PSS224" s="35"/>
      <c r="PST224" s="35"/>
      <c r="PSU224" s="34"/>
      <c r="PSV224" s="34"/>
      <c r="PSW224" s="36"/>
      <c r="PSX224" s="36"/>
      <c r="PSY224" s="37"/>
      <c r="PSZ224" s="37"/>
      <c r="PTA224" s="38"/>
      <c r="PTB224" s="38"/>
      <c r="PTC224" s="39"/>
      <c r="PTD224" s="34"/>
      <c r="PTE224" s="34"/>
      <c r="PTF224" s="34"/>
      <c r="PTG224" s="35"/>
      <c r="PTH224" s="35"/>
      <c r="PTI224" s="35"/>
      <c r="PTJ224" s="35"/>
      <c r="PTK224" s="35"/>
      <c r="PTL224" s="34"/>
      <c r="PTM224" s="34"/>
      <c r="PTN224" s="36"/>
      <c r="PTO224" s="36"/>
      <c r="PTP224" s="37"/>
      <c r="PTQ224" s="37"/>
      <c r="PTR224" s="38"/>
      <c r="PTS224" s="38"/>
      <c r="PTT224" s="39"/>
      <c r="PTU224" s="34"/>
      <c r="PTV224" s="34"/>
      <c r="PTW224" s="34"/>
      <c r="PTX224" s="35"/>
      <c r="PTY224" s="35"/>
      <c r="PTZ224" s="35"/>
      <c r="PUA224" s="35"/>
      <c r="PUB224" s="35"/>
      <c r="PUC224" s="34"/>
      <c r="PUD224" s="34"/>
      <c r="PUE224" s="36"/>
      <c r="PUF224" s="36"/>
      <c r="PUG224" s="37"/>
      <c r="PUH224" s="37"/>
      <c r="PUI224" s="38"/>
      <c r="PUJ224" s="38"/>
      <c r="PUK224" s="39"/>
      <c r="PUL224" s="34"/>
      <c r="PUM224" s="34"/>
      <c r="PUN224" s="34"/>
      <c r="PUO224" s="35"/>
      <c r="PUP224" s="35"/>
      <c r="PUQ224" s="35"/>
      <c r="PUR224" s="35"/>
      <c r="PUS224" s="35"/>
      <c r="PUT224" s="34"/>
      <c r="PUU224" s="34"/>
      <c r="PUV224" s="36"/>
      <c r="PUW224" s="36"/>
      <c r="PUX224" s="37"/>
      <c r="PUY224" s="37"/>
      <c r="PUZ224" s="38"/>
      <c r="PVA224" s="38"/>
      <c r="PVB224" s="39"/>
      <c r="PVC224" s="34"/>
      <c r="PVD224" s="34"/>
      <c r="PVE224" s="34"/>
      <c r="PVF224" s="35"/>
      <c r="PVG224" s="35"/>
      <c r="PVH224" s="35"/>
      <c r="PVI224" s="35"/>
      <c r="PVJ224" s="35"/>
      <c r="PVK224" s="34"/>
      <c r="PVL224" s="34"/>
      <c r="PVM224" s="36"/>
      <c r="PVN224" s="36"/>
      <c r="PVO224" s="37"/>
      <c r="PVP224" s="37"/>
      <c r="PVQ224" s="38"/>
      <c r="PVR224" s="38"/>
      <c r="PVS224" s="39"/>
      <c r="PVT224" s="34"/>
      <c r="PVU224" s="34"/>
      <c r="PVV224" s="34"/>
      <c r="PVW224" s="35"/>
      <c r="PVX224" s="35"/>
      <c r="PVY224" s="35"/>
      <c r="PVZ224" s="35"/>
      <c r="PWA224" s="35"/>
      <c r="PWB224" s="34"/>
      <c r="PWC224" s="34"/>
      <c r="PWD224" s="36"/>
      <c r="PWE224" s="36"/>
      <c r="PWF224" s="37"/>
      <c r="PWG224" s="37"/>
      <c r="PWH224" s="38"/>
      <c r="PWI224" s="38"/>
      <c r="PWJ224" s="39"/>
      <c r="PWK224" s="34"/>
      <c r="PWL224" s="34"/>
      <c r="PWM224" s="34"/>
      <c r="PWN224" s="35"/>
      <c r="PWO224" s="35"/>
      <c r="PWP224" s="35"/>
      <c r="PWQ224" s="35"/>
      <c r="PWR224" s="35"/>
      <c r="PWS224" s="34"/>
      <c r="PWT224" s="34"/>
      <c r="PWU224" s="36"/>
      <c r="PWV224" s="36"/>
      <c r="PWW224" s="37"/>
      <c r="PWX224" s="37"/>
      <c r="PWY224" s="38"/>
      <c r="PWZ224" s="38"/>
      <c r="PXA224" s="39"/>
      <c r="PXB224" s="34"/>
      <c r="PXC224" s="34"/>
      <c r="PXD224" s="34"/>
      <c r="PXE224" s="35"/>
      <c r="PXF224" s="35"/>
      <c r="PXG224" s="35"/>
      <c r="PXH224" s="35"/>
      <c r="PXI224" s="35"/>
      <c r="PXJ224" s="34"/>
      <c r="PXK224" s="34"/>
      <c r="PXL224" s="36"/>
      <c r="PXM224" s="36"/>
      <c r="PXN224" s="37"/>
      <c r="PXO224" s="37"/>
      <c r="PXP224" s="38"/>
      <c r="PXQ224" s="38"/>
      <c r="PXR224" s="39"/>
      <c r="PXS224" s="34"/>
      <c r="PXT224" s="34"/>
      <c r="PXU224" s="34"/>
      <c r="PXV224" s="35"/>
      <c r="PXW224" s="35"/>
      <c r="PXX224" s="35"/>
      <c r="PXY224" s="35"/>
      <c r="PXZ224" s="35"/>
      <c r="PYA224" s="34"/>
      <c r="PYB224" s="34"/>
      <c r="PYC224" s="36"/>
      <c r="PYD224" s="36"/>
      <c r="PYE224" s="37"/>
      <c r="PYF224" s="37"/>
      <c r="PYG224" s="38"/>
      <c r="PYH224" s="38"/>
      <c r="PYI224" s="39"/>
      <c r="PYJ224" s="34"/>
      <c r="PYK224" s="34"/>
      <c r="PYL224" s="34"/>
      <c r="PYM224" s="35"/>
      <c r="PYN224" s="35"/>
      <c r="PYO224" s="35"/>
      <c r="PYP224" s="35"/>
      <c r="PYQ224" s="35"/>
      <c r="PYR224" s="34"/>
      <c r="PYS224" s="34"/>
      <c r="PYT224" s="36"/>
      <c r="PYU224" s="36"/>
      <c r="PYV224" s="37"/>
      <c r="PYW224" s="37"/>
      <c r="PYX224" s="38"/>
      <c r="PYY224" s="38"/>
      <c r="PYZ224" s="39"/>
      <c r="PZA224" s="34"/>
      <c r="PZB224" s="34"/>
      <c r="PZC224" s="34"/>
      <c r="PZD224" s="35"/>
      <c r="PZE224" s="35"/>
      <c r="PZF224" s="35"/>
      <c r="PZG224" s="35"/>
      <c r="PZH224" s="35"/>
      <c r="PZI224" s="34"/>
      <c r="PZJ224" s="34"/>
      <c r="PZK224" s="36"/>
      <c r="PZL224" s="36"/>
      <c r="PZM224" s="37"/>
      <c r="PZN224" s="37"/>
      <c r="PZO224" s="38"/>
      <c r="PZP224" s="38"/>
      <c r="PZQ224" s="39"/>
      <c r="PZR224" s="34"/>
      <c r="PZS224" s="34"/>
      <c r="PZT224" s="34"/>
      <c r="PZU224" s="35"/>
      <c r="PZV224" s="35"/>
      <c r="PZW224" s="35"/>
      <c r="PZX224" s="35"/>
      <c r="PZY224" s="35"/>
      <c r="PZZ224" s="34"/>
      <c r="QAA224" s="34"/>
      <c r="QAB224" s="36"/>
      <c r="QAC224" s="36"/>
      <c r="QAD224" s="37"/>
      <c r="QAE224" s="37"/>
      <c r="QAF224" s="38"/>
      <c r="QAG224" s="38"/>
      <c r="QAH224" s="39"/>
      <c r="QAI224" s="34"/>
      <c r="QAJ224" s="34"/>
      <c r="QAK224" s="34"/>
      <c r="QAL224" s="35"/>
      <c r="QAM224" s="35"/>
      <c r="QAN224" s="35"/>
      <c r="QAO224" s="35"/>
      <c r="QAP224" s="35"/>
      <c r="QAQ224" s="34"/>
      <c r="QAR224" s="34"/>
      <c r="QAS224" s="36"/>
      <c r="QAT224" s="36"/>
      <c r="QAU224" s="37"/>
      <c r="QAV224" s="37"/>
      <c r="QAW224" s="38"/>
      <c r="QAX224" s="38"/>
      <c r="QAY224" s="39"/>
      <c r="QAZ224" s="34"/>
      <c r="QBA224" s="34"/>
      <c r="QBB224" s="34"/>
      <c r="QBC224" s="35"/>
      <c r="QBD224" s="35"/>
      <c r="QBE224" s="35"/>
      <c r="QBF224" s="35"/>
      <c r="QBG224" s="35"/>
      <c r="QBH224" s="34"/>
      <c r="QBI224" s="34"/>
      <c r="QBJ224" s="36"/>
      <c r="QBK224" s="36"/>
      <c r="QBL224" s="37"/>
      <c r="QBM224" s="37"/>
      <c r="QBN224" s="38"/>
      <c r="QBO224" s="38"/>
      <c r="QBP224" s="39"/>
      <c r="QBQ224" s="34"/>
      <c r="QBR224" s="34"/>
      <c r="QBS224" s="34"/>
      <c r="QBT224" s="35"/>
      <c r="QBU224" s="35"/>
      <c r="QBV224" s="35"/>
      <c r="QBW224" s="35"/>
      <c r="QBX224" s="35"/>
      <c r="QBY224" s="34"/>
      <c r="QBZ224" s="34"/>
      <c r="QCA224" s="36"/>
      <c r="QCB224" s="36"/>
      <c r="QCC224" s="37"/>
      <c r="QCD224" s="37"/>
      <c r="QCE224" s="38"/>
      <c r="QCF224" s="38"/>
      <c r="QCG224" s="39"/>
      <c r="QCH224" s="34"/>
      <c r="QCI224" s="34"/>
      <c r="QCJ224" s="34"/>
      <c r="QCK224" s="35"/>
      <c r="QCL224" s="35"/>
      <c r="QCM224" s="35"/>
      <c r="QCN224" s="35"/>
      <c r="QCO224" s="35"/>
      <c r="QCP224" s="34"/>
      <c r="QCQ224" s="34"/>
      <c r="QCR224" s="36"/>
      <c r="QCS224" s="36"/>
      <c r="QCT224" s="37"/>
      <c r="QCU224" s="37"/>
      <c r="QCV224" s="38"/>
      <c r="QCW224" s="38"/>
      <c r="QCX224" s="39"/>
      <c r="QCY224" s="34"/>
      <c r="QCZ224" s="34"/>
      <c r="QDA224" s="34"/>
      <c r="QDB224" s="35"/>
      <c r="QDC224" s="35"/>
      <c r="QDD224" s="35"/>
      <c r="QDE224" s="35"/>
      <c r="QDF224" s="35"/>
      <c r="QDG224" s="34"/>
      <c r="QDH224" s="34"/>
      <c r="QDI224" s="36"/>
      <c r="QDJ224" s="36"/>
      <c r="QDK224" s="37"/>
      <c r="QDL224" s="37"/>
      <c r="QDM224" s="38"/>
      <c r="QDN224" s="38"/>
      <c r="QDO224" s="39"/>
      <c r="QDP224" s="34"/>
      <c r="QDQ224" s="34"/>
      <c r="QDR224" s="34"/>
      <c r="QDS224" s="35"/>
      <c r="QDT224" s="35"/>
      <c r="QDU224" s="35"/>
      <c r="QDV224" s="35"/>
      <c r="QDW224" s="35"/>
      <c r="QDX224" s="34"/>
      <c r="QDY224" s="34"/>
      <c r="QDZ224" s="36"/>
      <c r="QEA224" s="36"/>
      <c r="QEB224" s="37"/>
      <c r="QEC224" s="37"/>
      <c r="QED224" s="38"/>
      <c r="QEE224" s="38"/>
      <c r="QEF224" s="39"/>
      <c r="QEG224" s="34"/>
      <c r="QEH224" s="34"/>
      <c r="QEI224" s="34"/>
      <c r="QEJ224" s="35"/>
      <c r="QEK224" s="35"/>
      <c r="QEL224" s="35"/>
      <c r="QEM224" s="35"/>
      <c r="QEN224" s="35"/>
      <c r="QEO224" s="34"/>
      <c r="QEP224" s="34"/>
      <c r="QEQ224" s="36"/>
      <c r="QER224" s="36"/>
      <c r="QES224" s="37"/>
      <c r="QET224" s="37"/>
      <c r="QEU224" s="38"/>
      <c r="QEV224" s="38"/>
      <c r="QEW224" s="39"/>
      <c r="QEX224" s="34"/>
      <c r="QEY224" s="34"/>
      <c r="QEZ224" s="34"/>
      <c r="QFA224" s="35"/>
      <c r="QFB224" s="35"/>
      <c r="QFC224" s="35"/>
      <c r="QFD224" s="35"/>
      <c r="QFE224" s="35"/>
      <c r="QFF224" s="34"/>
      <c r="QFG224" s="34"/>
      <c r="QFH224" s="36"/>
      <c r="QFI224" s="36"/>
      <c r="QFJ224" s="37"/>
      <c r="QFK224" s="37"/>
      <c r="QFL224" s="38"/>
      <c r="QFM224" s="38"/>
      <c r="QFN224" s="39"/>
      <c r="QFO224" s="34"/>
      <c r="QFP224" s="34"/>
      <c r="QFQ224" s="34"/>
      <c r="QFR224" s="35"/>
      <c r="QFS224" s="35"/>
      <c r="QFT224" s="35"/>
      <c r="QFU224" s="35"/>
      <c r="QFV224" s="35"/>
      <c r="QFW224" s="34"/>
      <c r="QFX224" s="34"/>
      <c r="QFY224" s="36"/>
      <c r="QFZ224" s="36"/>
      <c r="QGA224" s="37"/>
      <c r="QGB224" s="37"/>
      <c r="QGC224" s="38"/>
      <c r="QGD224" s="38"/>
      <c r="QGE224" s="39"/>
      <c r="QGF224" s="34"/>
      <c r="QGG224" s="34"/>
      <c r="QGH224" s="34"/>
      <c r="QGI224" s="35"/>
      <c r="QGJ224" s="35"/>
      <c r="QGK224" s="35"/>
      <c r="QGL224" s="35"/>
      <c r="QGM224" s="35"/>
      <c r="QGN224" s="34"/>
      <c r="QGO224" s="34"/>
      <c r="QGP224" s="36"/>
      <c r="QGQ224" s="36"/>
      <c r="QGR224" s="37"/>
      <c r="QGS224" s="37"/>
      <c r="QGT224" s="38"/>
      <c r="QGU224" s="38"/>
      <c r="QGV224" s="39"/>
      <c r="QGW224" s="34"/>
      <c r="QGX224" s="34"/>
      <c r="QGY224" s="34"/>
      <c r="QGZ224" s="35"/>
      <c r="QHA224" s="35"/>
      <c r="QHB224" s="35"/>
      <c r="QHC224" s="35"/>
      <c r="QHD224" s="35"/>
      <c r="QHE224" s="34"/>
      <c r="QHF224" s="34"/>
      <c r="QHG224" s="36"/>
      <c r="QHH224" s="36"/>
      <c r="QHI224" s="37"/>
      <c r="QHJ224" s="37"/>
      <c r="QHK224" s="38"/>
      <c r="QHL224" s="38"/>
      <c r="QHM224" s="39"/>
      <c r="QHN224" s="34"/>
      <c r="QHO224" s="34"/>
      <c r="QHP224" s="34"/>
      <c r="QHQ224" s="35"/>
      <c r="QHR224" s="35"/>
      <c r="QHS224" s="35"/>
      <c r="QHT224" s="35"/>
      <c r="QHU224" s="35"/>
      <c r="QHV224" s="34"/>
      <c r="QHW224" s="34"/>
      <c r="QHX224" s="36"/>
      <c r="QHY224" s="36"/>
      <c r="QHZ224" s="37"/>
      <c r="QIA224" s="37"/>
      <c r="QIB224" s="38"/>
      <c r="QIC224" s="38"/>
      <c r="QID224" s="39"/>
      <c r="QIE224" s="34"/>
      <c r="QIF224" s="34"/>
      <c r="QIG224" s="34"/>
      <c r="QIH224" s="35"/>
      <c r="QII224" s="35"/>
      <c r="QIJ224" s="35"/>
      <c r="QIK224" s="35"/>
      <c r="QIL224" s="35"/>
      <c r="QIM224" s="34"/>
      <c r="QIN224" s="34"/>
      <c r="QIO224" s="36"/>
      <c r="QIP224" s="36"/>
      <c r="QIQ224" s="37"/>
      <c r="QIR224" s="37"/>
      <c r="QIS224" s="38"/>
      <c r="QIT224" s="38"/>
      <c r="QIU224" s="39"/>
      <c r="QIV224" s="34"/>
      <c r="QIW224" s="34"/>
      <c r="QIX224" s="34"/>
      <c r="QIY224" s="35"/>
      <c r="QIZ224" s="35"/>
      <c r="QJA224" s="35"/>
      <c r="QJB224" s="35"/>
      <c r="QJC224" s="35"/>
      <c r="QJD224" s="34"/>
      <c r="QJE224" s="34"/>
      <c r="QJF224" s="36"/>
      <c r="QJG224" s="36"/>
      <c r="QJH224" s="37"/>
      <c r="QJI224" s="37"/>
      <c r="QJJ224" s="38"/>
      <c r="QJK224" s="38"/>
      <c r="QJL224" s="39"/>
      <c r="QJM224" s="34"/>
      <c r="QJN224" s="34"/>
      <c r="QJO224" s="34"/>
      <c r="QJP224" s="35"/>
      <c r="QJQ224" s="35"/>
      <c r="QJR224" s="35"/>
      <c r="QJS224" s="35"/>
      <c r="QJT224" s="35"/>
      <c r="QJU224" s="34"/>
      <c r="QJV224" s="34"/>
      <c r="QJW224" s="36"/>
      <c r="QJX224" s="36"/>
      <c r="QJY224" s="37"/>
      <c r="QJZ224" s="37"/>
      <c r="QKA224" s="38"/>
      <c r="QKB224" s="38"/>
      <c r="QKC224" s="39"/>
      <c r="QKD224" s="34"/>
      <c r="QKE224" s="34"/>
      <c r="QKF224" s="34"/>
      <c r="QKG224" s="35"/>
      <c r="QKH224" s="35"/>
      <c r="QKI224" s="35"/>
      <c r="QKJ224" s="35"/>
      <c r="QKK224" s="35"/>
      <c r="QKL224" s="34"/>
      <c r="QKM224" s="34"/>
      <c r="QKN224" s="36"/>
      <c r="QKO224" s="36"/>
      <c r="QKP224" s="37"/>
      <c r="QKQ224" s="37"/>
      <c r="QKR224" s="38"/>
      <c r="QKS224" s="38"/>
      <c r="QKT224" s="39"/>
      <c r="QKU224" s="34"/>
      <c r="QKV224" s="34"/>
      <c r="QKW224" s="34"/>
      <c r="QKX224" s="35"/>
      <c r="QKY224" s="35"/>
      <c r="QKZ224" s="35"/>
      <c r="QLA224" s="35"/>
      <c r="QLB224" s="35"/>
      <c r="QLC224" s="34"/>
      <c r="QLD224" s="34"/>
      <c r="QLE224" s="36"/>
      <c r="QLF224" s="36"/>
      <c r="QLG224" s="37"/>
      <c r="QLH224" s="37"/>
      <c r="QLI224" s="38"/>
      <c r="QLJ224" s="38"/>
      <c r="QLK224" s="39"/>
      <c r="QLL224" s="34"/>
      <c r="QLM224" s="34"/>
      <c r="QLN224" s="34"/>
      <c r="QLO224" s="35"/>
      <c r="QLP224" s="35"/>
      <c r="QLQ224" s="35"/>
      <c r="QLR224" s="35"/>
      <c r="QLS224" s="35"/>
      <c r="QLT224" s="34"/>
      <c r="QLU224" s="34"/>
      <c r="QLV224" s="36"/>
      <c r="QLW224" s="36"/>
      <c r="QLX224" s="37"/>
      <c r="QLY224" s="37"/>
      <c r="QLZ224" s="38"/>
      <c r="QMA224" s="38"/>
      <c r="QMB224" s="39"/>
      <c r="QMC224" s="34"/>
      <c r="QMD224" s="34"/>
      <c r="QME224" s="34"/>
      <c r="QMF224" s="35"/>
      <c r="QMG224" s="35"/>
      <c r="QMH224" s="35"/>
      <c r="QMI224" s="35"/>
      <c r="QMJ224" s="35"/>
      <c r="QMK224" s="34"/>
      <c r="QML224" s="34"/>
      <c r="QMM224" s="36"/>
      <c r="QMN224" s="36"/>
      <c r="QMO224" s="37"/>
      <c r="QMP224" s="37"/>
      <c r="QMQ224" s="38"/>
      <c r="QMR224" s="38"/>
      <c r="QMS224" s="39"/>
      <c r="QMT224" s="34"/>
      <c r="QMU224" s="34"/>
      <c r="QMV224" s="34"/>
      <c r="QMW224" s="35"/>
      <c r="QMX224" s="35"/>
      <c r="QMY224" s="35"/>
      <c r="QMZ224" s="35"/>
      <c r="QNA224" s="35"/>
      <c r="QNB224" s="34"/>
      <c r="QNC224" s="34"/>
      <c r="QND224" s="36"/>
      <c r="QNE224" s="36"/>
      <c r="QNF224" s="37"/>
      <c r="QNG224" s="37"/>
      <c r="QNH224" s="38"/>
      <c r="QNI224" s="38"/>
      <c r="QNJ224" s="39"/>
      <c r="QNK224" s="34"/>
      <c r="QNL224" s="34"/>
      <c r="QNM224" s="34"/>
      <c r="QNN224" s="35"/>
      <c r="QNO224" s="35"/>
      <c r="QNP224" s="35"/>
      <c r="QNQ224" s="35"/>
      <c r="QNR224" s="35"/>
      <c r="QNS224" s="34"/>
      <c r="QNT224" s="34"/>
      <c r="QNU224" s="36"/>
      <c r="QNV224" s="36"/>
      <c r="QNW224" s="37"/>
      <c r="QNX224" s="37"/>
      <c r="QNY224" s="38"/>
      <c r="QNZ224" s="38"/>
      <c r="QOA224" s="39"/>
      <c r="QOB224" s="34"/>
      <c r="QOC224" s="34"/>
      <c r="QOD224" s="34"/>
      <c r="QOE224" s="35"/>
      <c r="QOF224" s="35"/>
      <c r="QOG224" s="35"/>
      <c r="QOH224" s="35"/>
      <c r="QOI224" s="35"/>
      <c r="QOJ224" s="34"/>
      <c r="QOK224" s="34"/>
      <c r="QOL224" s="36"/>
      <c r="QOM224" s="36"/>
      <c r="QON224" s="37"/>
      <c r="QOO224" s="37"/>
      <c r="QOP224" s="38"/>
      <c r="QOQ224" s="38"/>
      <c r="QOR224" s="39"/>
      <c r="QOS224" s="34"/>
      <c r="QOT224" s="34"/>
      <c r="QOU224" s="34"/>
      <c r="QOV224" s="35"/>
      <c r="QOW224" s="35"/>
      <c r="QOX224" s="35"/>
      <c r="QOY224" s="35"/>
      <c r="QOZ224" s="35"/>
      <c r="QPA224" s="34"/>
      <c r="QPB224" s="34"/>
      <c r="QPC224" s="36"/>
      <c r="QPD224" s="36"/>
      <c r="QPE224" s="37"/>
      <c r="QPF224" s="37"/>
      <c r="QPG224" s="38"/>
      <c r="QPH224" s="38"/>
      <c r="QPI224" s="39"/>
      <c r="QPJ224" s="34"/>
      <c r="QPK224" s="34"/>
      <c r="QPL224" s="34"/>
      <c r="QPM224" s="35"/>
      <c r="QPN224" s="35"/>
      <c r="QPO224" s="35"/>
      <c r="QPP224" s="35"/>
      <c r="QPQ224" s="35"/>
      <c r="QPR224" s="34"/>
      <c r="QPS224" s="34"/>
      <c r="QPT224" s="36"/>
      <c r="QPU224" s="36"/>
      <c r="QPV224" s="37"/>
      <c r="QPW224" s="37"/>
      <c r="QPX224" s="38"/>
      <c r="QPY224" s="38"/>
      <c r="QPZ224" s="39"/>
      <c r="QQA224" s="34"/>
      <c r="QQB224" s="34"/>
      <c r="QQC224" s="34"/>
      <c r="QQD224" s="35"/>
      <c r="QQE224" s="35"/>
      <c r="QQF224" s="35"/>
      <c r="QQG224" s="35"/>
      <c r="QQH224" s="35"/>
      <c r="QQI224" s="34"/>
      <c r="QQJ224" s="34"/>
      <c r="QQK224" s="36"/>
      <c r="QQL224" s="36"/>
      <c r="QQM224" s="37"/>
      <c r="QQN224" s="37"/>
      <c r="QQO224" s="38"/>
      <c r="QQP224" s="38"/>
      <c r="QQQ224" s="39"/>
      <c r="QQR224" s="34"/>
      <c r="QQS224" s="34"/>
      <c r="QQT224" s="34"/>
      <c r="QQU224" s="35"/>
      <c r="QQV224" s="35"/>
      <c r="QQW224" s="35"/>
      <c r="QQX224" s="35"/>
      <c r="QQY224" s="35"/>
      <c r="QQZ224" s="34"/>
      <c r="QRA224" s="34"/>
      <c r="QRB224" s="36"/>
      <c r="QRC224" s="36"/>
      <c r="QRD224" s="37"/>
      <c r="QRE224" s="37"/>
      <c r="QRF224" s="38"/>
      <c r="QRG224" s="38"/>
      <c r="QRH224" s="39"/>
      <c r="QRI224" s="34"/>
      <c r="QRJ224" s="34"/>
      <c r="QRK224" s="34"/>
      <c r="QRL224" s="35"/>
      <c r="QRM224" s="35"/>
      <c r="QRN224" s="35"/>
      <c r="QRO224" s="35"/>
      <c r="QRP224" s="35"/>
      <c r="QRQ224" s="34"/>
      <c r="QRR224" s="34"/>
      <c r="QRS224" s="36"/>
      <c r="QRT224" s="36"/>
      <c r="QRU224" s="37"/>
      <c r="QRV224" s="37"/>
      <c r="QRW224" s="38"/>
      <c r="QRX224" s="38"/>
      <c r="QRY224" s="39"/>
      <c r="QRZ224" s="34"/>
      <c r="QSA224" s="34"/>
      <c r="QSB224" s="34"/>
      <c r="QSC224" s="35"/>
      <c r="QSD224" s="35"/>
      <c r="QSE224" s="35"/>
      <c r="QSF224" s="35"/>
      <c r="QSG224" s="35"/>
      <c r="QSH224" s="34"/>
      <c r="QSI224" s="34"/>
      <c r="QSJ224" s="36"/>
      <c r="QSK224" s="36"/>
      <c r="QSL224" s="37"/>
      <c r="QSM224" s="37"/>
      <c r="QSN224" s="38"/>
      <c r="QSO224" s="38"/>
      <c r="QSP224" s="39"/>
      <c r="QSQ224" s="34"/>
      <c r="QSR224" s="34"/>
      <c r="QSS224" s="34"/>
      <c r="QST224" s="35"/>
      <c r="QSU224" s="35"/>
      <c r="QSV224" s="35"/>
      <c r="QSW224" s="35"/>
      <c r="QSX224" s="35"/>
      <c r="QSY224" s="34"/>
      <c r="QSZ224" s="34"/>
      <c r="QTA224" s="36"/>
      <c r="QTB224" s="36"/>
      <c r="QTC224" s="37"/>
      <c r="QTD224" s="37"/>
      <c r="QTE224" s="38"/>
      <c r="QTF224" s="38"/>
      <c r="QTG224" s="39"/>
      <c r="QTH224" s="34"/>
      <c r="QTI224" s="34"/>
      <c r="QTJ224" s="34"/>
      <c r="QTK224" s="35"/>
      <c r="QTL224" s="35"/>
      <c r="QTM224" s="35"/>
      <c r="QTN224" s="35"/>
      <c r="QTO224" s="35"/>
      <c r="QTP224" s="34"/>
      <c r="QTQ224" s="34"/>
      <c r="QTR224" s="36"/>
      <c r="QTS224" s="36"/>
      <c r="QTT224" s="37"/>
      <c r="QTU224" s="37"/>
      <c r="QTV224" s="38"/>
      <c r="QTW224" s="38"/>
      <c r="QTX224" s="39"/>
      <c r="QTY224" s="34"/>
      <c r="QTZ224" s="34"/>
      <c r="QUA224" s="34"/>
      <c r="QUB224" s="35"/>
      <c r="QUC224" s="35"/>
      <c r="QUD224" s="35"/>
      <c r="QUE224" s="35"/>
      <c r="QUF224" s="35"/>
      <c r="QUG224" s="34"/>
      <c r="QUH224" s="34"/>
      <c r="QUI224" s="36"/>
      <c r="QUJ224" s="36"/>
      <c r="QUK224" s="37"/>
      <c r="QUL224" s="37"/>
      <c r="QUM224" s="38"/>
      <c r="QUN224" s="38"/>
      <c r="QUO224" s="39"/>
      <c r="QUP224" s="34"/>
      <c r="QUQ224" s="34"/>
      <c r="QUR224" s="34"/>
      <c r="QUS224" s="35"/>
      <c r="QUT224" s="35"/>
      <c r="QUU224" s="35"/>
      <c r="QUV224" s="35"/>
      <c r="QUW224" s="35"/>
      <c r="QUX224" s="34"/>
      <c r="QUY224" s="34"/>
      <c r="QUZ224" s="36"/>
      <c r="QVA224" s="36"/>
      <c r="QVB224" s="37"/>
      <c r="QVC224" s="37"/>
      <c r="QVD224" s="38"/>
      <c r="QVE224" s="38"/>
      <c r="QVF224" s="39"/>
      <c r="QVG224" s="34"/>
      <c r="QVH224" s="34"/>
      <c r="QVI224" s="34"/>
      <c r="QVJ224" s="35"/>
      <c r="QVK224" s="35"/>
      <c r="QVL224" s="35"/>
      <c r="QVM224" s="35"/>
      <c r="QVN224" s="35"/>
      <c r="QVO224" s="34"/>
      <c r="QVP224" s="34"/>
      <c r="QVQ224" s="36"/>
      <c r="QVR224" s="36"/>
      <c r="QVS224" s="37"/>
      <c r="QVT224" s="37"/>
      <c r="QVU224" s="38"/>
      <c r="QVV224" s="38"/>
      <c r="QVW224" s="39"/>
      <c r="QVX224" s="34"/>
      <c r="QVY224" s="34"/>
      <c r="QVZ224" s="34"/>
      <c r="QWA224" s="35"/>
      <c r="QWB224" s="35"/>
      <c r="QWC224" s="35"/>
      <c r="QWD224" s="35"/>
      <c r="QWE224" s="35"/>
      <c r="QWF224" s="34"/>
      <c r="QWG224" s="34"/>
      <c r="QWH224" s="36"/>
      <c r="QWI224" s="36"/>
      <c r="QWJ224" s="37"/>
      <c r="QWK224" s="37"/>
      <c r="QWL224" s="38"/>
      <c r="QWM224" s="38"/>
      <c r="QWN224" s="39"/>
      <c r="QWO224" s="34"/>
      <c r="QWP224" s="34"/>
      <c r="QWQ224" s="34"/>
      <c r="QWR224" s="35"/>
      <c r="QWS224" s="35"/>
      <c r="QWT224" s="35"/>
      <c r="QWU224" s="35"/>
      <c r="QWV224" s="35"/>
      <c r="QWW224" s="34"/>
      <c r="QWX224" s="34"/>
      <c r="QWY224" s="36"/>
      <c r="QWZ224" s="36"/>
      <c r="QXA224" s="37"/>
      <c r="QXB224" s="37"/>
      <c r="QXC224" s="38"/>
      <c r="QXD224" s="38"/>
      <c r="QXE224" s="39"/>
      <c r="QXF224" s="34"/>
      <c r="QXG224" s="34"/>
      <c r="QXH224" s="34"/>
      <c r="QXI224" s="35"/>
      <c r="QXJ224" s="35"/>
      <c r="QXK224" s="35"/>
      <c r="QXL224" s="35"/>
      <c r="QXM224" s="35"/>
      <c r="QXN224" s="34"/>
      <c r="QXO224" s="34"/>
      <c r="QXP224" s="36"/>
      <c r="QXQ224" s="36"/>
      <c r="QXR224" s="37"/>
      <c r="QXS224" s="37"/>
      <c r="QXT224" s="38"/>
      <c r="QXU224" s="38"/>
      <c r="QXV224" s="39"/>
      <c r="QXW224" s="34"/>
      <c r="QXX224" s="34"/>
      <c r="QXY224" s="34"/>
      <c r="QXZ224" s="35"/>
      <c r="QYA224" s="35"/>
      <c r="QYB224" s="35"/>
      <c r="QYC224" s="35"/>
      <c r="QYD224" s="35"/>
      <c r="QYE224" s="34"/>
      <c r="QYF224" s="34"/>
      <c r="QYG224" s="36"/>
      <c r="QYH224" s="36"/>
      <c r="QYI224" s="37"/>
      <c r="QYJ224" s="37"/>
      <c r="QYK224" s="38"/>
      <c r="QYL224" s="38"/>
      <c r="QYM224" s="39"/>
      <c r="QYN224" s="34"/>
      <c r="QYO224" s="34"/>
      <c r="QYP224" s="34"/>
      <c r="QYQ224" s="35"/>
      <c r="QYR224" s="35"/>
      <c r="QYS224" s="35"/>
      <c r="QYT224" s="35"/>
      <c r="QYU224" s="35"/>
      <c r="QYV224" s="34"/>
      <c r="QYW224" s="34"/>
      <c r="QYX224" s="36"/>
      <c r="QYY224" s="36"/>
      <c r="QYZ224" s="37"/>
      <c r="QZA224" s="37"/>
      <c r="QZB224" s="38"/>
      <c r="QZC224" s="38"/>
      <c r="QZD224" s="39"/>
      <c r="QZE224" s="34"/>
      <c r="QZF224" s="34"/>
      <c r="QZG224" s="34"/>
      <c r="QZH224" s="35"/>
      <c r="QZI224" s="35"/>
      <c r="QZJ224" s="35"/>
      <c r="QZK224" s="35"/>
      <c r="QZL224" s="35"/>
      <c r="QZM224" s="34"/>
      <c r="QZN224" s="34"/>
      <c r="QZO224" s="36"/>
      <c r="QZP224" s="36"/>
      <c r="QZQ224" s="37"/>
      <c r="QZR224" s="37"/>
      <c r="QZS224" s="38"/>
      <c r="QZT224" s="38"/>
      <c r="QZU224" s="39"/>
      <c r="QZV224" s="34"/>
      <c r="QZW224" s="34"/>
      <c r="QZX224" s="34"/>
      <c r="QZY224" s="35"/>
      <c r="QZZ224" s="35"/>
      <c r="RAA224" s="35"/>
      <c r="RAB224" s="35"/>
      <c r="RAC224" s="35"/>
      <c r="RAD224" s="34"/>
      <c r="RAE224" s="34"/>
      <c r="RAF224" s="36"/>
      <c r="RAG224" s="36"/>
      <c r="RAH224" s="37"/>
      <c r="RAI224" s="37"/>
      <c r="RAJ224" s="38"/>
      <c r="RAK224" s="38"/>
      <c r="RAL224" s="39"/>
      <c r="RAM224" s="34"/>
      <c r="RAN224" s="34"/>
      <c r="RAO224" s="34"/>
      <c r="RAP224" s="35"/>
      <c r="RAQ224" s="35"/>
      <c r="RAR224" s="35"/>
      <c r="RAS224" s="35"/>
      <c r="RAT224" s="35"/>
      <c r="RAU224" s="34"/>
      <c r="RAV224" s="34"/>
      <c r="RAW224" s="36"/>
      <c r="RAX224" s="36"/>
      <c r="RAY224" s="37"/>
      <c r="RAZ224" s="37"/>
      <c r="RBA224" s="38"/>
      <c r="RBB224" s="38"/>
      <c r="RBC224" s="39"/>
      <c r="RBD224" s="34"/>
      <c r="RBE224" s="34"/>
      <c r="RBF224" s="34"/>
      <c r="RBG224" s="35"/>
      <c r="RBH224" s="35"/>
      <c r="RBI224" s="35"/>
      <c r="RBJ224" s="35"/>
      <c r="RBK224" s="35"/>
      <c r="RBL224" s="34"/>
      <c r="RBM224" s="34"/>
      <c r="RBN224" s="36"/>
      <c r="RBO224" s="36"/>
      <c r="RBP224" s="37"/>
      <c r="RBQ224" s="37"/>
      <c r="RBR224" s="38"/>
      <c r="RBS224" s="38"/>
      <c r="RBT224" s="39"/>
      <c r="RBU224" s="34"/>
      <c r="RBV224" s="34"/>
      <c r="RBW224" s="34"/>
      <c r="RBX224" s="35"/>
      <c r="RBY224" s="35"/>
      <c r="RBZ224" s="35"/>
      <c r="RCA224" s="35"/>
      <c r="RCB224" s="35"/>
      <c r="RCC224" s="34"/>
      <c r="RCD224" s="34"/>
      <c r="RCE224" s="36"/>
      <c r="RCF224" s="36"/>
      <c r="RCG224" s="37"/>
      <c r="RCH224" s="37"/>
      <c r="RCI224" s="38"/>
      <c r="RCJ224" s="38"/>
      <c r="RCK224" s="39"/>
      <c r="RCL224" s="34"/>
      <c r="RCM224" s="34"/>
      <c r="RCN224" s="34"/>
      <c r="RCO224" s="35"/>
      <c r="RCP224" s="35"/>
      <c r="RCQ224" s="35"/>
      <c r="RCR224" s="35"/>
      <c r="RCS224" s="35"/>
      <c r="RCT224" s="34"/>
      <c r="RCU224" s="34"/>
      <c r="RCV224" s="36"/>
      <c r="RCW224" s="36"/>
      <c r="RCX224" s="37"/>
      <c r="RCY224" s="37"/>
      <c r="RCZ224" s="38"/>
      <c r="RDA224" s="38"/>
      <c r="RDB224" s="39"/>
      <c r="RDC224" s="34"/>
      <c r="RDD224" s="34"/>
      <c r="RDE224" s="34"/>
      <c r="RDF224" s="35"/>
      <c r="RDG224" s="35"/>
      <c r="RDH224" s="35"/>
      <c r="RDI224" s="35"/>
      <c r="RDJ224" s="35"/>
      <c r="RDK224" s="34"/>
      <c r="RDL224" s="34"/>
      <c r="RDM224" s="36"/>
      <c r="RDN224" s="36"/>
      <c r="RDO224" s="37"/>
      <c r="RDP224" s="37"/>
      <c r="RDQ224" s="38"/>
      <c r="RDR224" s="38"/>
      <c r="RDS224" s="39"/>
      <c r="RDT224" s="34"/>
      <c r="RDU224" s="34"/>
      <c r="RDV224" s="34"/>
      <c r="RDW224" s="35"/>
      <c r="RDX224" s="35"/>
      <c r="RDY224" s="35"/>
      <c r="RDZ224" s="35"/>
      <c r="REA224" s="35"/>
      <c r="REB224" s="34"/>
      <c r="REC224" s="34"/>
      <c r="RED224" s="36"/>
      <c r="REE224" s="36"/>
      <c r="REF224" s="37"/>
      <c r="REG224" s="37"/>
      <c r="REH224" s="38"/>
      <c r="REI224" s="38"/>
      <c r="REJ224" s="39"/>
      <c r="REK224" s="34"/>
      <c r="REL224" s="34"/>
      <c r="REM224" s="34"/>
      <c r="REN224" s="35"/>
      <c r="REO224" s="35"/>
      <c r="REP224" s="35"/>
      <c r="REQ224" s="35"/>
      <c r="RER224" s="35"/>
      <c r="RES224" s="34"/>
      <c r="RET224" s="34"/>
      <c r="REU224" s="36"/>
      <c r="REV224" s="36"/>
      <c r="REW224" s="37"/>
      <c r="REX224" s="37"/>
      <c r="REY224" s="38"/>
      <c r="REZ224" s="38"/>
      <c r="RFA224" s="39"/>
      <c r="RFB224" s="34"/>
      <c r="RFC224" s="34"/>
      <c r="RFD224" s="34"/>
      <c r="RFE224" s="35"/>
      <c r="RFF224" s="35"/>
      <c r="RFG224" s="35"/>
      <c r="RFH224" s="35"/>
      <c r="RFI224" s="35"/>
      <c r="RFJ224" s="34"/>
      <c r="RFK224" s="34"/>
      <c r="RFL224" s="36"/>
      <c r="RFM224" s="36"/>
      <c r="RFN224" s="37"/>
      <c r="RFO224" s="37"/>
      <c r="RFP224" s="38"/>
      <c r="RFQ224" s="38"/>
      <c r="RFR224" s="39"/>
      <c r="RFS224" s="34"/>
      <c r="RFT224" s="34"/>
      <c r="RFU224" s="34"/>
      <c r="RFV224" s="35"/>
      <c r="RFW224" s="35"/>
      <c r="RFX224" s="35"/>
      <c r="RFY224" s="35"/>
      <c r="RFZ224" s="35"/>
      <c r="RGA224" s="34"/>
      <c r="RGB224" s="34"/>
      <c r="RGC224" s="36"/>
      <c r="RGD224" s="36"/>
      <c r="RGE224" s="37"/>
      <c r="RGF224" s="37"/>
      <c r="RGG224" s="38"/>
      <c r="RGH224" s="38"/>
      <c r="RGI224" s="39"/>
      <c r="RGJ224" s="34"/>
      <c r="RGK224" s="34"/>
      <c r="RGL224" s="34"/>
      <c r="RGM224" s="35"/>
      <c r="RGN224" s="35"/>
      <c r="RGO224" s="35"/>
      <c r="RGP224" s="35"/>
      <c r="RGQ224" s="35"/>
      <c r="RGR224" s="34"/>
      <c r="RGS224" s="34"/>
      <c r="RGT224" s="36"/>
      <c r="RGU224" s="36"/>
      <c r="RGV224" s="37"/>
      <c r="RGW224" s="37"/>
      <c r="RGX224" s="38"/>
      <c r="RGY224" s="38"/>
      <c r="RGZ224" s="39"/>
      <c r="RHA224" s="34"/>
      <c r="RHB224" s="34"/>
      <c r="RHC224" s="34"/>
      <c r="RHD224" s="35"/>
      <c r="RHE224" s="35"/>
      <c r="RHF224" s="35"/>
      <c r="RHG224" s="35"/>
      <c r="RHH224" s="35"/>
      <c r="RHI224" s="34"/>
      <c r="RHJ224" s="34"/>
      <c r="RHK224" s="36"/>
      <c r="RHL224" s="36"/>
      <c r="RHM224" s="37"/>
      <c r="RHN224" s="37"/>
      <c r="RHO224" s="38"/>
      <c r="RHP224" s="38"/>
      <c r="RHQ224" s="39"/>
      <c r="RHR224" s="34"/>
      <c r="RHS224" s="34"/>
      <c r="RHT224" s="34"/>
      <c r="RHU224" s="35"/>
      <c r="RHV224" s="35"/>
      <c r="RHW224" s="35"/>
      <c r="RHX224" s="35"/>
      <c r="RHY224" s="35"/>
      <c r="RHZ224" s="34"/>
      <c r="RIA224" s="34"/>
      <c r="RIB224" s="36"/>
      <c r="RIC224" s="36"/>
      <c r="RID224" s="37"/>
      <c r="RIE224" s="37"/>
      <c r="RIF224" s="38"/>
      <c r="RIG224" s="38"/>
      <c r="RIH224" s="39"/>
      <c r="RII224" s="34"/>
      <c r="RIJ224" s="34"/>
      <c r="RIK224" s="34"/>
      <c r="RIL224" s="35"/>
      <c r="RIM224" s="35"/>
      <c r="RIN224" s="35"/>
      <c r="RIO224" s="35"/>
      <c r="RIP224" s="35"/>
      <c r="RIQ224" s="34"/>
      <c r="RIR224" s="34"/>
      <c r="RIS224" s="36"/>
      <c r="RIT224" s="36"/>
      <c r="RIU224" s="37"/>
      <c r="RIV224" s="37"/>
      <c r="RIW224" s="38"/>
      <c r="RIX224" s="38"/>
      <c r="RIY224" s="39"/>
      <c r="RIZ224" s="34"/>
      <c r="RJA224" s="34"/>
      <c r="RJB224" s="34"/>
      <c r="RJC224" s="35"/>
      <c r="RJD224" s="35"/>
      <c r="RJE224" s="35"/>
      <c r="RJF224" s="35"/>
      <c r="RJG224" s="35"/>
      <c r="RJH224" s="34"/>
      <c r="RJI224" s="34"/>
      <c r="RJJ224" s="36"/>
      <c r="RJK224" s="36"/>
      <c r="RJL224" s="37"/>
      <c r="RJM224" s="37"/>
      <c r="RJN224" s="38"/>
      <c r="RJO224" s="38"/>
      <c r="RJP224" s="39"/>
      <c r="RJQ224" s="34"/>
      <c r="RJR224" s="34"/>
      <c r="RJS224" s="34"/>
      <c r="RJT224" s="35"/>
      <c r="RJU224" s="35"/>
      <c r="RJV224" s="35"/>
      <c r="RJW224" s="35"/>
      <c r="RJX224" s="35"/>
      <c r="RJY224" s="34"/>
      <c r="RJZ224" s="34"/>
      <c r="RKA224" s="36"/>
      <c r="RKB224" s="36"/>
      <c r="RKC224" s="37"/>
      <c r="RKD224" s="37"/>
      <c r="RKE224" s="38"/>
      <c r="RKF224" s="38"/>
      <c r="RKG224" s="39"/>
      <c r="RKH224" s="34"/>
      <c r="RKI224" s="34"/>
      <c r="RKJ224" s="34"/>
      <c r="RKK224" s="35"/>
      <c r="RKL224" s="35"/>
      <c r="RKM224" s="35"/>
      <c r="RKN224" s="35"/>
      <c r="RKO224" s="35"/>
      <c r="RKP224" s="34"/>
      <c r="RKQ224" s="34"/>
      <c r="RKR224" s="36"/>
      <c r="RKS224" s="36"/>
      <c r="RKT224" s="37"/>
      <c r="RKU224" s="37"/>
      <c r="RKV224" s="38"/>
      <c r="RKW224" s="38"/>
      <c r="RKX224" s="39"/>
      <c r="RKY224" s="34"/>
      <c r="RKZ224" s="34"/>
      <c r="RLA224" s="34"/>
      <c r="RLB224" s="35"/>
      <c r="RLC224" s="35"/>
      <c r="RLD224" s="35"/>
      <c r="RLE224" s="35"/>
      <c r="RLF224" s="35"/>
      <c r="RLG224" s="34"/>
      <c r="RLH224" s="34"/>
      <c r="RLI224" s="36"/>
      <c r="RLJ224" s="36"/>
      <c r="RLK224" s="37"/>
      <c r="RLL224" s="37"/>
      <c r="RLM224" s="38"/>
      <c r="RLN224" s="38"/>
      <c r="RLO224" s="39"/>
      <c r="RLP224" s="34"/>
      <c r="RLQ224" s="34"/>
      <c r="RLR224" s="34"/>
      <c r="RLS224" s="35"/>
      <c r="RLT224" s="35"/>
      <c r="RLU224" s="35"/>
      <c r="RLV224" s="35"/>
      <c r="RLW224" s="35"/>
      <c r="RLX224" s="34"/>
      <c r="RLY224" s="34"/>
      <c r="RLZ224" s="36"/>
      <c r="RMA224" s="36"/>
      <c r="RMB224" s="37"/>
      <c r="RMC224" s="37"/>
      <c r="RMD224" s="38"/>
      <c r="RME224" s="38"/>
      <c r="RMF224" s="39"/>
      <c r="RMG224" s="34"/>
      <c r="RMH224" s="34"/>
      <c r="RMI224" s="34"/>
      <c r="RMJ224" s="35"/>
      <c r="RMK224" s="35"/>
      <c r="RML224" s="35"/>
      <c r="RMM224" s="35"/>
      <c r="RMN224" s="35"/>
      <c r="RMO224" s="34"/>
      <c r="RMP224" s="34"/>
      <c r="RMQ224" s="36"/>
      <c r="RMR224" s="36"/>
      <c r="RMS224" s="37"/>
      <c r="RMT224" s="37"/>
      <c r="RMU224" s="38"/>
      <c r="RMV224" s="38"/>
      <c r="RMW224" s="39"/>
      <c r="RMX224" s="34"/>
      <c r="RMY224" s="34"/>
      <c r="RMZ224" s="34"/>
      <c r="RNA224" s="35"/>
      <c r="RNB224" s="35"/>
      <c r="RNC224" s="35"/>
      <c r="RND224" s="35"/>
      <c r="RNE224" s="35"/>
      <c r="RNF224" s="34"/>
      <c r="RNG224" s="34"/>
      <c r="RNH224" s="36"/>
      <c r="RNI224" s="36"/>
      <c r="RNJ224" s="37"/>
      <c r="RNK224" s="37"/>
      <c r="RNL224" s="38"/>
      <c r="RNM224" s="38"/>
      <c r="RNN224" s="39"/>
      <c r="RNO224" s="34"/>
      <c r="RNP224" s="34"/>
      <c r="RNQ224" s="34"/>
      <c r="RNR224" s="35"/>
      <c r="RNS224" s="35"/>
      <c r="RNT224" s="35"/>
      <c r="RNU224" s="35"/>
      <c r="RNV224" s="35"/>
      <c r="RNW224" s="34"/>
      <c r="RNX224" s="34"/>
      <c r="RNY224" s="36"/>
      <c r="RNZ224" s="36"/>
      <c r="ROA224" s="37"/>
      <c r="ROB224" s="37"/>
      <c r="ROC224" s="38"/>
      <c r="ROD224" s="38"/>
      <c r="ROE224" s="39"/>
      <c r="ROF224" s="34"/>
      <c r="ROG224" s="34"/>
      <c r="ROH224" s="34"/>
      <c r="ROI224" s="35"/>
      <c r="ROJ224" s="35"/>
      <c r="ROK224" s="35"/>
      <c r="ROL224" s="35"/>
      <c r="ROM224" s="35"/>
      <c r="RON224" s="34"/>
      <c r="ROO224" s="34"/>
      <c r="ROP224" s="36"/>
      <c r="ROQ224" s="36"/>
      <c r="ROR224" s="37"/>
      <c r="ROS224" s="37"/>
      <c r="ROT224" s="38"/>
      <c r="ROU224" s="38"/>
      <c r="ROV224" s="39"/>
      <c r="ROW224" s="34"/>
      <c r="ROX224" s="34"/>
      <c r="ROY224" s="34"/>
      <c r="ROZ224" s="35"/>
      <c r="RPA224" s="35"/>
      <c r="RPB224" s="35"/>
      <c r="RPC224" s="35"/>
      <c r="RPD224" s="35"/>
      <c r="RPE224" s="34"/>
      <c r="RPF224" s="34"/>
      <c r="RPG224" s="36"/>
      <c r="RPH224" s="36"/>
      <c r="RPI224" s="37"/>
      <c r="RPJ224" s="37"/>
      <c r="RPK224" s="38"/>
      <c r="RPL224" s="38"/>
      <c r="RPM224" s="39"/>
      <c r="RPN224" s="34"/>
      <c r="RPO224" s="34"/>
      <c r="RPP224" s="34"/>
      <c r="RPQ224" s="35"/>
      <c r="RPR224" s="35"/>
      <c r="RPS224" s="35"/>
      <c r="RPT224" s="35"/>
      <c r="RPU224" s="35"/>
      <c r="RPV224" s="34"/>
      <c r="RPW224" s="34"/>
      <c r="RPX224" s="36"/>
      <c r="RPY224" s="36"/>
      <c r="RPZ224" s="37"/>
      <c r="RQA224" s="37"/>
      <c r="RQB224" s="38"/>
      <c r="RQC224" s="38"/>
      <c r="RQD224" s="39"/>
      <c r="RQE224" s="34"/>
      <c r="RQF224" s="34"/>
      <c r="RQG224" s="34"/>
      <c r="RQH224" s="35"/>
      <c r="RQI224" s="35"/>
      <c r="RQJ224" s="35"/>
      <c r="RQK224" s="35"/>
      <c r="RQL224" s="35"/>
      <c r="RQM224" s="34"/>
      <c r="RQN224" s="34"/>
      <c r="RQO224" s="36"/>
      <c r="RQP224" s="36"/>
      <c r="RQQ224" s="37"/>
      <c r="RQR224" s="37"/>
      <c r="RQS224" s="38"/>
      <c r="RQT224" s="38"/>
      <c r="RQU224" s="39"/>
      <c r="RQV224" s="34"/>
      <c r="RQW224" s="34"/>
      <c r="RQX224" s="34"/>
      <c r="RQY224" s="35"/>
      <c r="RQZ224" s="35"/>
      <c r="RRA224" s="35"/>
      <c r="RRB224" s="35"/>
      <c r="RRC224" s="35"/>
      <c r="RRD224" s="34"/>
      <c r="RRE224" s="34"/>
      <c r="RRF224" s="36"/>
      <c r="RRG224" s="36"/>
      <c r="RRH224" s="37"/>
      <c r="RRI224" s="37"/>
      <c r="RRJ224" s="38"/>
      <c r="RRK224" s="38"/>
      <c r="RRL224" s="39"/>
      <c r="RRM224" s="34"/>
      <c r="RRN224" s="34"/>
      <c r="RRO224" s="34"/>
      <c r="RRP224" s="35"/>
      <c r="RRQ224" s="35"/>
      <c r="RRR224" s="35"/>
      <c r="RRS224" s="35"/>
      <c r="RRT224" s="35"/>
      <c r="RRU224" s="34"/>
      <c r="RRV224" s="34"/>
      <c r="RRW224" s="36"/>
      <c r="RRX224" s="36"/>
      <c r="RRY224" s="37"/>
      <c r="RRZ224" s="37"/>
      <c r="RSA224" s="38"/>
      <c r="RSB224" s="38"/>
      <c r="RSC224" s="39"/>
      <c r="RSD224" s="34"/>
      <c r="RSE224" s="34"/>
      <c r="RSF224" s="34"/>
      <c r="RSG224" s="35"/>
      <c r="RSH224" s="35"/>
      <c r="RSI224" s="35"/>
      <c r="RSJ224" s="35"/>
      <c r="RSK224" s="35"/>
      <c r="RSL224" s="34"/>
      <c r="RSM224" s="34"/>
      <c r="RSN224" s="36"/>
      <c r="RSO224" s="36"/>
      <c r="RSP224" s="37"/>
      <c r="RSQ224" s="37"/>
      <c r="RSR224" s="38"/>
      <c r="RSS224" s="38"/>
      <c r="RST224" s="39"/>
      <c r="RSU224" s="34"/>
      <c r="RSV224" s="34"/>
      <c r="RSW224" s="34"/>
      <c r="RSX224" s="35"/>
      <c r="RSY224" s="35"/>
      <c r="RSZ224" s="35"/>
      <c r="RTA224" s="35"/>
      <c r="RTB224" s="35"/>
      <c r="RTC224" s="34"/>
      <c r="RTD224" s="34"/>
      <c r="RTE224" s="36"/>
      <c r="RTF224" s="36"/>
      <c r="RTG224" s="37"/>
      <c r="RTH224" s="37"/>
      <c r="RTI224" s="38"/>
      <c r="RTJ224" s="38"/>
      <c r="RTK224" s="39"/>
      <c r="RTL224" s="34"/>
      <c r="RTM224" s="34"/>
      <c r="RTN224" s="34"/>
      <c r="RTO224" s="35"/>
      <c r="RTP224" s="35"/>
      <c r="RTQ224" s="35"/>
      <c r="RTR224" s="35"/>
      <c r="RTS224" s="35"/>
      <c r="RTT224" s="34"/>
      <c r="RTU224" s="34"/>
      <c r="RTV224" s="36"/>
      <c r="RTW224" s="36"/>
      <c r="RTX224" s="37"/>
      <c r="RTY224" s="37"/>
      <c r="RTZ224" s="38"/>
      <c r="RUA224" s="38"/>
      <c r="RUB224" s="39"/>
      <c r="RUC224" s="34"/>
      <c r="RUD224" s="34"/>
      <c r="RUE224" s="34"/>
      <c r="RUF224" s="35"/>
      <c r="RUG224" s="35"/>
      <c r="RUH224" s="35"/>
      <c r="RUI224" s="35"/>
      <c r="RUJ224" s="35"/>
      <c r="RUK224" s="34"/>
      <c r="RUL224" s="34"/>
      <c r="RUM224" s="36"/>
      <c r="RUN224" s="36"/>
      <c r="RUO224" s="37"/>
      <c r="RUP224" s="37"/>
      <c r="RUQ224" s="38"/>
      <c r="RUR224" s="38"/>
      <c r="RUS224" s="39"/>
      <c r="RUT224" s="34"/>
      <c r="RUU224" s="34"/>
      <c r="RUV224" s="34"/>
      <c r="RUW224" s="35"/>
      <c r="RUX224" s="35"/>
      <c r="RUY224" s="35"/>
      <c r="RUZ224" s="35"/>
      <c r="RVA224" s="35"/>
      <c r="RVB224" s="34"/>
      <c r="RVC224" s="34"/>
      <c r="RVD224" s="36"/>
      <c r="RVE224" s="36"/>
      <c r="RVF224" s="37"/>
      <c r="RVG224" s="37"/>
      <c r="RVH224" s="38"/>
      <c r="RVI224" s="38"/>
      <c r="RVJ224" s="39"/>
      <c r="RVK224" s="34"/>
      <c r="RVL224" s="34"/>
      <c r="RVM224" s="34"/>
      <c r="RVN224" s="35"/>
      <c r="RVO224" s="35"/>
      <c r="RVP224" s="35"/>
      <c r="RVQ224" s="35"/>
      <c r="RVR224" s="35"/>
      <c r="RVS224" s="34"/>
      <c r="RVT224" s="34"/>
      <c r="RVU224" s="36"/>
      <c r="RVV224" s="36"/>
      <c r="RVW224" s="37"/>
      <c r="RVX224" s="37"/>
      <c r="RVY224" s="38"/>
      <c r="RVZ224" s="38"/>
      <c r="RWA224" s="39"/>
      <c r="RWB224" s="34"/>
      <c r="RWC224" s="34"/>
      <c r="RWD224" s="34"/>
      <c r="RWE224" s="35"/>
      <c r="RWF224" s="35"/>
      <c r="RWG224" s="35"/>
      <c r="RWH224" s="35"/>
      <c r="RWI224" s="35"/>
      <c r="RWJ224" s="34"/>
      <c r="RWK224" s="34"/>
      <c r="RWL224" s="36"/>
      <c r="RWM224" s="36"/>
      <c r="RWN224" s="37"/>
      <c r="RWO224" s="37"/>
      <c r="RWP224" s="38"/>
      <c r="RWQ224" s="38"/>
      <c r="RWR224" s="39"/>
      <c r="RWS224" s="34"/>
      <c r="RWT224" s="34"/>
      <c r="RWU224" s="34"/>
      <c r="RWV224" s="35"/>
      <c r="RWW224" s="35"/>
      <c r="RWX224" s="35"/>
      <c r="RWY224" s="35"/>
      <c r="RWZ224" s="35"/>
      <c r="RXA224" s="34"/>
      <c r="RXB224" s="34"/>
      <c r="RXC224" s="36"/>
      <c r="RXD224" s="36"/>
      <c r="RXE224" s="37"/>
      <c r="RXF224" s="37"/>
      <c r="RXG224" s="38"/>
      <c r="RXH224" s="38"/>
      <c r="RXI224" s="39"/>
      <c r="RXJ224" s="34"/>
      <c r="RXK224" s="34"/>
      <c r="RXL224" s="34"/>
      <c r="RXM224" s="35"/>
      <c r="RXN224" s="35"/>
      <c r="RXO224" s="35"/>
      <c r="RXP224" s="35"/>
      <c r="RXQ224" s="35"/>
      <c r="RXR224" s="34"/>
      <c r="RXS224" s="34"/>
      <c r="RXT224" s="36"/>
      <c r="RXU224" s="36"/>
      <c r="RXV224" s="37"/>
      <c r="RXW224" s="37"/>
      <c r="RXX224" s="38"/>
      <c r="RXY224" s="38"/>
      <c r="RXZ224" s="39"/>
      <c r="RYA224" s="34"/>
      <c r="RYB224" s="34"/>
      <c r="RYC224" s="34"/>
      <c r="RYD224" s="35"/>
      <c r="RYE224" s="35"/>
      <c r="RYF224" s="35"/>
      <c r="RYG224" s="35"/>
      <c r="RYH224" s="35"/>
      <c r="RYI224" s="34"/>
      <c r="RYJ224" s="34"/>
      <c r="RYK224" s="36"/>
      <c r="RYL224" s="36"/>
      <c r="RYM224" s="37"/>
      <c r="RYN224" s="37"/>
      <c r="RYO224" s="38"/>
      <c r="RYP224" s="38"/>
      <c r="RYQ224" s="39"/>
      <c r="RYR224" s="34"/>
      <c r="RYS224" s="34"/>
      <c r="RYT224" s="34"/>
      <c r="RYU224" s="35"/>
      <c r="RYV224" s="35"/>
      <c r="RYW224" s="35"/>
      <c r="RYX224" s="35"/>
      <c r="RYY224" s="35"/>
      <c r="RYZ224" s="34"/>
      <c r="RZA224" s="34"/>
      <c r="RZB224" s="36"/>
      <c r="RZC224" s="36"/>
      <c r="RZD224" s="37"/>
      <c r="RZE224" s="37"/>
      <c r="RZF224" s="38"/>
      <c r="RZG224" s="38"/>
      <c r="RZH224" s="39"/>
      <c r="RZI224" s="34"/>
      <c r="RZJ224" s="34"/>
      <c r="RZK224" s="34"/>
      <c r="RZL224" s="35"/>
      <c r="RZM224" s="35"/>
      <c r="RZN224" s="35"/>
      <c r="RZO224" s="35"/>
      <c r="RZP224" s="35"/>
      <c r="RZQ224" s="34"/>
      <c r="RZR224" s="34"/>
      <c r="RZS224" s="36"/>
      <c r="RZT224" s="36"/>
      <c r="RZU224" s="37"/>
      <c r="RZV224" s="37"/>
      <c r="RZW224" s="38"/>
      <c r="RZX224" s="38"/>
      <c r="RZY224" s="39"/>
      <c r="RZZ224" s="34"/>
      <c r="SAA224" s="34"/>
      <c r="SAB224" s="34"/>
      <c r="SAC224" s="35"/>
      <c r="SAD224" s="35"/>
      <c r="SAE224" s="35"/>
      <c r="SAF224" s="35"/>
      <c r="SAG224" s="35"/>
      <c r="SAH224" s="34"/>
      <c r="SAI224" s="34"/>
      <c r="SAJ224" s="36"/>
      <c r="SAK224" s="36"/>
      <c r="SAL224" s="37"/>
      <c r="SAM224" s="37"/>
      <c r="SAN224" s="38"/>
      <c r="SAO224" s="38"/>
      <c r="SAP224" s="39"/>
      <c r="SAQ224" s="34"/>
      <c r="SAR224" s="34"/>
      <c r="SAS224" s="34"/>
      <c r="SAT224" s="35"/>
      <c r="SAU224" s="35"/>
      <c r="SAV224" s="35"/>
      <c r="SAW224" s="35"/>
      <c r="SAX224" s="35"/>
      <c r="SAY224" s="34"/>
      <c r="SAZ224" s="34"/>
      <c r="SBA224" s="36"/>
      <c r="SBB224" s="36"/>
      <c r="SBC224" s="37"/>
      <c r="SBD224" s="37"/>
      <c r="SBE224" s="38"/>
      <c r="SBF224" s="38"/>
      <c r="SBG224" s="39"/>
      <c r="SBH224" s="34"/>
      <c r="SBI224" s="34"/>
      <c r="SBJ224" s="34"/>
      <c r="SBK224" s="35"/>
      <c r="SBL224" s="35"/>
      <c r="SBM224" s="35"/>
      <c r="SBN224" s="35"/>
      <c r="SBO224" s="35"/>
      <c r="SBP224" s="34"/>
      <c r="SBQ224" s="34"/>
      <c r="SBR224" s="36"/>
      <c r="SBS224" s="36"/>
      <c r="SBT224" s="37"/>
      <c r="SBU224" s="37"/>
      <c r="SBV224" s="38"/>
      <c r="SBW224" s="38"/>
      <c r="SBX224" s="39"/>
      <c r="SBY224" s="34"/>
      <c r="SBZ224" s="34"/>
      <c r="SCA224" s="34"/>
      <c r="SCB224" s="35"/>
      <c r="SCC224" s="35"/>
      <c r="SCD224" s="35"/>
      <c r="SCE224" s="35"/>
      <c r="SCF224" s="35"/>
      <c r="SCG224" s="34"/>
      <c r="SCH224" s="34"/>
      <c r="SCI224" s="36"/>
      <c r="SCJ224" s="36"/>
      <c r="SCK224" s="37"/>
      <c r="SCL224" s="37"/>
      <c r="SCM224" s="38"/>
      <c r="SCN224" s="38"/>
      <c r="SCO224" s="39"/>
      <c r="SCP224" s="34"/>
      <c r="SCQ224" s="34"/>
      <c r="SCR224" s="34"/>
      <c r="SCS224" s="35"/>
      <c r="SCT224" s="35"/>
      <c r="SCU224" s="35"/>
      <c r="SCV224" s="35"/>
      <c r="SCW224" s="35"/>
      <c r="SCX224" s="34"/>
      <c r="SCY224" s="34"/>
      <c r="SCZ224" s="36"/>
      <c r="SDA224" s="36"/>
      <c r="SDB224" s="37"/>
      <c r="SDC224" s="37"/>
      <c r="SDD224" s="38"/>
      <c r="SDE224" s="38"/>
      <c r="SDF224" s="39"/>
      <c r="SDG224" s="34"/>
      <c r="SDH224" s="34"/>
      <c r="SDI224" s="34"/>
      <c r="SDJ224" s="35"/>
      <c r="SDK224" s="35"/>
      <c r="SDL224" s="35"/>
      <c r="SDM224" s="35"/>
      <c r="SDN224" s="35"/>
      <c r="SDO224" s="34"/>
      <c r="SDP224" s="34"/>
      <c r="SDQ224" s="36"/>
      <c r="SDR224" s="36"/>
      <c r="SDS224" s="37"/>
      <c r="SDT224" s="37"/>
      <c r="SDU224" s="38"/>
      <c r="SDV224" s="38"/>
      <c r="SDW224" s="39"/>
      <c r="SDX224" s="34"/>
      <c r="SDY224" s="34"/>
      <c r="SDZ224" s="34"/>
      <c r="SEA224" s="35"/>
      <c r="SEB224" s="35"/>
      <c r="SEC224" s="35"/>
      <c r="SED224" s="35"/>
      <c r="SEE224" s="35"/>
      <c r="SEF224" s="34"/>
      <c r="SEG224" s="34"/>
      <c r="SEH224" s="36"/>
      <c r="SEI224" s="36"/>
      <c r="SEJ224" s="37"/>
      <c r="SEK224" s="37"/>
      <c r="SEL224" s="38"/>
      <c r="SEM224" s="38"/>
      <c r="SEN224" s="39"/>
      <c r="SEO224" s="34"/>
      <c r="SEP224" s="34"/>
      <c r="SEQ224" s="34"/>
      <c r="SER224" s="35"/>
      <c r="SES224" s="35"/>
      <c r="SET224" s="35"/>
      <c r="SEU224" s="35"/>
      <c r="SEV224" s="35"/>
      <c r="SEW224" s="34"/>
      <c r="SEX224" s="34"/>
      <c r="SEY224" s="36"/>
      <c r="SEZ224" s="36"/>
      <c r="SFA224" s="37"/>
      <c r="SFB224" s="37"/>
      <c r="SFC224" s="38"/>
      <c r="SFD224" s="38"/>
      <c r="SFE224" s="39"/>
      <c r="SFF224" s="34"/>
      <c r="SFG224" s="34"/>
      <c r="SFH224" s="34"/>
      <c r="SFI224" s="35"/>
      <c r="SFJ224" s="35"/>
      <c r="SFK224" s="35"/>
      <c r="SFL224" s="35"/>
      <c r="SFM224" s="35"/>
      <c r="SFN224" s="34"/>
      <c r="SFO224" s="34"/>
      <c r="SFP224" s="36"/>
      <c r="SFQ224" s="36"/>
      <c r="SFR224" s="37"/>
      <c r="SFS224" s="37"/>
      <c r="SFT224" s="38"/>
      <c r="SFU224" s="38"/>
      <c r="SFV224" s="39"/>
      <c r="SFW224" s="34"/>
      <c r="SFX224" s="34"/>
      <c r="SFY224" s="34"/>
      <c r="SFZ224" s="35"/>
      <c r="SGA224" s="35"/>
      <c r="SGB224" s="35"/>
      <c r="SGC224" s="35"/>
      <c r="SGD224" s="35"/>
      <c r="SGE224" s="34"/>
      <c r="SGF224" s="34"/>
      <c r="SGG224" s="36"/>
      <c r="SGH224" s="36"/>
      <c r="SGI224" s="37"/>
      <c r="SGJ224" s="37"/>
      <c r="SGK224" s="38"/>
      <c r="SGL224" s="38"/>
      <c r="SGM224" s="39"/>
      <c r="SGN224" s="34"/>
      <c r="SGO224" s="34"/>
      <c r="SGP224" s="34"/>
      <c r="SGQ224" s="35"/>
      <c r="SGR224" s="35"/>
      <c r="SGS224" s="35"/>
      <c r="SGT224" s="35"/>
      <c r="SGU224" s="35"/>
      <c r="SGV224" s="34"/>
      <c r="SGW224" s="34"/>
      <c r="SGX224" s="36"/>
      <c r="SGY224" s="36"/>
      <c r="SGZ224" s="37"/>
      <c r="SHA224" s="37"/>
      <c r="SHB224" s="38"/>
      <c r="SHC224" s="38"/>
      <c r="SHD224" s="39"/>
      <c r="SHE224" s="34"/>
      <c r="SHF224" s="34"/>
      <c r="SHG224" s="34"/>
      <c r="SHH224" s="35"/>
      <c r="SHI224" s="35"/>
      <c r="SHJ224" s="35"/>
      <c r="SHK224" s="35"/>
      <c r="SHL224" s="35"/>
      <c r="SHM224" s="34"/>
      <c r="SHN224" s="34"/>
      <c r="SHO224" s="36"/>
      <c r="SHP224" s="36"/>
      <c r="SHQ224" s="37"/>
      <c r="SHR224" s="37"/>
      <c r="SHS224" s="38"/>
      <c r="SHT224" s="38"/>
      <c r="SHU224" s="39"/>
      <c r="SHV224" s="34"/>
      <c r="SHW224" s="34"/>
      <c r="SHX224" s="34"/>
      <c r="SHY224" s="35"/>
      <c r="SHZ224" s="35"/>
      <c r="SIA224" s="35"/>
      <c r="SIB224" s="35"/>
      <c r="SIC224" s="35"/>
      <c r="SID224" s="34"/>
      <c r="SIE224" s="34"/>
      <c r="SIF224" s="36"/>
      <c r="SIG224" s="36"/>
      <c r="SIH224" s="37"/>
      <c r="SII224" s="37"/>
      <c r="SIJ224" s="38"/>
      <c r="SIK224" s="38"/>
      <c r="SIL224" s="39"/>
      <c r="SIM224" s="34"/>
      <c r="SIN224" s="34"/>
      <c r="SIO224" s="34"/>
      <c r="SIP224" s="35"/>
      <c r="SIQ224" s="35"/>
      <c r="SIR224" s="35"/>
      <c r="SIS224" s="35"/>
      <c r="SIT224" s="35"/>
      <c r="SIU224" s="34"/>
      <c r="SIV224" s="34"/>
      <c r="SIW224" s="36"/>
      <c r="SIX224" s="36"/>
      <c r="SIY224" s="37"/>
      <c r="SIZ224" s="37"/>
      <c r="SJA224" s="38"/>
      <c r="SJB224" s="38"/>
      <c r="SJC224" s="39"/>
      <c r="SJD224" s="34"/>
      <c r="SJE224" s="34"/>
      <c r="SJF224" s="34"/>
      <c r="SJG224" s="35"/>
      <c r="SJH224" s="35"/>
      <c r="SJI224" s="35"/>
      <c r="SJJ224" s="35"/>
      <c r="SJK224" s="35"/>
      <c r="SJL224" s="34"/>
      <c r="SJM224" s="34"/>
      <c r="SJN224" s="36"/>
      <c r="SJO224" s="36"/>
      <c r="SJP224" s="37"/>
      <c r="SJQ224" s="37"/>
      <c r="SJR224" s="38"/>
      <c r="SJS224" s="38"/>
      <c r="SJT224" s="39"/>
      <c r="SJU224" s="34"/>
      <c r="SJV224" s="34"/>
      <c r="SJW224" s="34"/>
      <c r="SJX224" s="35"/>
      <c r="SJY224" s="35"/>
      <c r="SJZ224" s="35"/>
      <c r="SKA224" s="35"/>
      <c r="SKB224" s="35"/>
      <c r="SKC224" s="34"/>
      <c r="SKD224" s="34"/>
      <c r="SKE224" s="36"/>
      <c r="SKF224" s="36"/>
      <c r="SKG224" s="37"/>
      <c r="SKH224" s="37"/>
      <c r="SKI224" s="38"/>
      <c r="SKJ224" s="38"/>
      <c r="SKK224" s="39"/>
      <c r="SKL224" s="34"/>
      <c r="SKM224" s="34"/>
      <c r="SKN224" s="34"/>
      <c r="SKO224" s="35"/>
      <c r="SKP224" s="35"/>
      <c r="SKQ224" s="35"/>
      <c r="SKR224" s="35"/>
      <c r="SKS224" s="35"/>
      <c r="SKT224" s="34"/>
      <c r="SKU224" s="34"/>
      <c r="SKV224" s="36"/>
      <c r="SKW224" s="36"/>
      <c r="SKX224" s="37"/>
      <c r="SKY224" s="37"/>
      <c r="SKZ224" s="38"/>
      <c r="SLA224" s="38"/>
      <c r="SLB224" s="39"/>
      <c r="SLC224" s="34"/>
      <c r="SLD224" s="34"/>
      <c r="SLE224" s="34"/>
      <c r="SLF224" s="35"/>
      <c r="SLG224" s="35"/>
      <c r="SLH224" s="35"/>
      <c r="SLI224" s="35"/>
      <c r="SLJ224" s="35"/>
      <c r="SLK224" s="34"/>
      <c r="SLL224" s="34"/>
      <c r="SLM224" s="36"/>
      <c r="SLN224" s="36"/>
      <c r="SLO224" s="37"/>
      <c r="SLP224" s="37"/>
      <c r="SLQ224" s="38"/>
      <c r="SLR224" s="38"/>
      <c r="SLS224" s="39"/>
      <c r="SLT224" s="34"/>
      <c r="SLU224" s="34"/>
      <c r="SLV224" s="34"/>
      <c r="SLW224" s="35"/>
      <c r="SLX224" s="35"/>
      <c r="SLY224" s="35"/>
      <c r="SLZ224" s="35"/>
      <c r="SMA224" s="35"/>
      <c r="SMB224" s="34"/>
      <c r="SMC224" s="34"/>
      <c r="SMD224" s="36"/>
      <c r="SME224" s="36"/>
      <c r="SMF224" s="37"/>
      <c r="SMG224" s="37"/>
      <c r="SMH224" s="38"/>
      <c r="SMI224" s="38"/>
      <c r="SMJ224" s="39"/>
      <c r="SMK224" s="34"/>
      <c r="SML224" s="34"/>
      <c r="SMM224" s="34"/>
      <c r="SMN224" s="35"/>
      <c r="SMO224" s="35"/>
      <c r="SMP224" s="35"/>
      <c r="SMQ224" s="35"/>
      <c r="SMR224" s="35"/>
      <c r="SMS224" s="34"/>
      <c r="SMT224" s="34"/>
      <c r="SMU224" s="36"/>
      <c r="SMV224" s="36"/>
      <c r="SMW224" s="37"/>
      <c r="SMX224" s="37"/>
      <c r="SMY224" s="38"/>
      <c r="SMZ224" s="38"/>
      <c r="SNA224" s="39"/>
      <c r="SNB224" s="34"/>
      <c r="SNC224" s="34"/>
      <c r="SND224" s="34"/>
      <c r="SNE224" s="35"/>
      <c r="SNF224" s="35"/>
      <c r="SNG224" s="35"/>
      <c r="SNH224" s="35"/>
      <c r="SNI224" s="35"/>
      <c r="SNJ224" s="34"/>
      <c r="SNK224" s="34"/>
      <c r="SNL224" s="36"/>
      <c r="SNM224" s="36"/>
      <c r="SNN224" s="37"/>
      <c r="SNO224" s="37"/>
      <c r="SNP224" s="38"/>
      <c r="SNQ224" s="38"/>
      <c r="SNR224" s="39"/>
      <c r="SNS224" s="34"/>
      <c r="SNT224" s="34"/>
      <c r="SNU224" s="34"/>
      <c r="SNV224" s="35"/>
      <c r="SNW224" s="35"/>
      <c r="SNX224" s="35"/>
      <c r="SNY224" s="35"/>
      <c r="SNZ224" s="35"/>
      <c r="SOA224" s="34"/>
      <c r="SOB224" s="34"/>
      <c r="SOC224" s="36"/>
      <c r="SOD224" s="36"/>
      <c r="SOE224" s="37"/>
      <c r="SOF224" s="37"/>
      <c r="SOG224" s="38"/>
      <c r="SOH224" s="38"/>
      <c r="SOI224" s="39"/>
      <c r="SOJ224" s="34"/>
      <c r="SOK224" s="34"/>
      <c r="SOL224" s="34"/>
      <c r="SOM224" s="35"/>
      <c r="SON224" s="35"/>
      <c r="SOO224" s="35"/>
      <c r="SOP224" s="35"/>
      <c r="SOQ224" s="35"/>
      <c r="SOR224" s="34"/>
      <c r="SOS224" s="34"/>
      <c r="SOT224" s="36"/>
      <c r="SOU224" s="36"/>
      <c r="SOV224" s="37"/>
      <c r="SOW224" s="37"/>
      <c r="SOX224" s="38"/>
      <c r="SOY224" s="38"/>
      <c r="SOZ224" s="39"/>
      <c r="SPA224" s="34"/>
      <c r="SPB224" s="34"/>
      <c r="SPC224" s="34"/>
      <c r="SPD224" s="35"/>
      <c r="SPE224" s="35"/>
      <c r="SPF224" s="35"/>
      <c r="SPG224" s="35"/>
      <c r="SPH224" s="35"/>
      <c r="SPI224" s="34"/>
      <c r="SPJ224" s="34"/>
      <c r="SPK224" s="36"/>
      <c r="SPL224" s="36"/>
      <c r="SPM224" s="37"/>
      <c r="SPN224" s="37"/>
      <c r="SPO224" s="38"/>
      <c r="SPP224" s="38"/>
      <c r="SPQ224" s="39"/>
      <c r="SPR224" s="34"/>
      <c r="SPS224" s="34"/>
      <c r="SPT224" s="34"/>
      <c r="SPU224" s="35"/>
      <c r="SPV224" s="35"/>
      <c r="SPW224" s="35"/>
      <c r="SPX224" s="35"/>
      <c r="SPY224" s="35"/>
      <c r="SPZ224" s="34"/>
      <c r="SQA224" s="34"/>
      <c r="SQB224" s="36"/>
      <c r="SQC224" s="36"/>
      <c r="SQD224" s="37"/>
      <c r="SQE224" s="37"/>
      <c r="SQF224" s="38"/>
      <c r="SQG224" s="38"/>
      <c r="SQH224" s="39"/>
      <c r="SQI224" s="34"/>
      <c r="SQJ224" s="34"/>
      <c r="SQK224" s="34"/>
      <c r="SQL224" s="35"/>
      <c r="SQM224" s="35"/>
      <c r="SQN224" s="35"/>
      <c r="SQO224" s="35"/>
      <c r="SQP224" s="35"/>
      <c r="SQQ224" s="34"/>
      <c r="SQR224" s="34"/>
      <c r="SQS224" s="36"/>
      <c r="SQT224" s="36"/>
      <c r="SQU224" s="37"/>
      <c r="SQV224" s="37"/>
      <c r="SQW224" s="38"/>
      <c r="SQX224" s="38"/>
      <c r="SQY224" s="39"/>
      <c r="SQZ224" s="34"/>
      <c r="SRA224" s="34"/>
      <c r="SRB224" s="34"/>
      <c r="SRC224" s="35"/>
      <c r="SRD224" s="35"/>
      <c r="SRE224" s="35"/>
      <c r="SRF224" s="35"/>
      <c r="SRG224" s="35"/>
      <c r="SRH224" s="34"/>
      <c r="SRI224" s="34"/>
      <c r="SRJ224" s="36"/>
      <c r="SRK224" s="36"/>
      <c r="SRL224" s="37"/>
      <c r="SRM224" s="37"/>
      <c r="SRN224" s="38"/>
      <c r="SRO224" s="38"/>
      <c r="SRP224" s="39"/>
      <c r="SRQ224" s="34"/>
      <c r="SRR224" s="34"/>
      <c r="SRS224" s="34"/>
      <c r="SRT224" s="35"/>
      <c r="SRU224" s="35"/>
      <c r="SRV224" s="35"/>
      <c r="SRW224" s="35"/>
      <c r="SRX224" s="35"/>
      <c r="SRY224" s="34"/>
      <c r="SRZ224" s="34"/>
      <c r="SSA224" s="36"/>
      <c r="SSB224" s="36"/>
      <c r="SSC224" s="37"/>
      <c r="SSD224" s="37"/>
      <c r="SSE224" s="38"/>
      <c r="SSF224" s="38"/>
      <c r="SSG224" s="39"/>
      <c r="SSH224" s="34"/>
      <c r="SSI224" s="34"/>
      <c r="SSJ224" s="34"/>
      <c r="SSK224" s="35"/>
      <c r="SSL224" s="35"/>
      <c r="SSM224" s="35"/>
      <c r="SSN224" s="35"/>
      <c r="SSO224" s="35"/>
      <c r="SSP224" s="34"/>
      <c r="SSQ224" s="34"/>
      <c r="SSR224" s="36"/>
      <c r="SSS224" s="36"/>
      <c r="SST224" s="37"/>
      <c r="SSU224" s="37"/>
      <c r="SSV224" s="38"/>
      <c r="SSW224" s="38"/>
      <c r="SSX224" s="39"/>
      <c r="SSY224" s="34"/>
      <c r="SSZ224" s="34"/>
      <c r="STA224" s="34"/>
      <c r="STB224" s="35"/>
      <c r="STC224" s="35"/>
      <c r="STD224" s="35"/>
      <c r="STE224" s="35"/>
      <c r="STF224" s="35"/>
      <c r="STG224" s="34"/>
      <c r="STH224" s="34"/>
      <c r="STI224" s="36"/>
      <c r="STJ224" s="36"/>
      <c r="STK224" s="37"/>
      <c r="STL224" s="37"/>
      <c r="STM224" s="38"/>
      <c r="STN224" s="38"/>
      <c r="STO224" s="39"/>
      <c r="STP224" s="34"/>
      <c r="STQ224" s="34"/>
      <c r="STR224" s="34"/>
      <c r="STS224" s="35"/>
      <c r="STT224" s="35"/>
      <c r="STU224" s="35"/>
      <c r="STV224" s="35"/>
      <c r="STW224" s="35"/>
      <c r="STX224" s="34"/>
      <c r="STY224" s="34"/>
      <c r="STZ224" s="36"/>
      <c r="SUA224" s="36"/>
      <c r="SUB224" s="37"/>
      <c r="SUC224" s="37"/>
      <c r="SUD224" s="38"/>
      <c r="SUE224" s="38"/>
      <c r="SUF224" s="39"/>
      <c r="SUG224" s="34"/>
      <c r="SUH224" s="34"/>
      <c r="SUI224" s="34"/>
      <c r="SUJ224" s="35"/>
      <c r="SUK224" s="35"/>
      <c r="SUL224" s="35"/>
      <c r="SUM224" s="35"/>
      <c r="SUN224" s="35"/>
      <c r="SUO224" s="34"/>
      <c r="SUP224" s="34"/>
      <c r="SUQ224" s="36"/>
      <c r="SUR224" s="36"/>
      <c r="SUS224" s="37"/>
      <c r="SUT224" s="37"/>
      <c r="SUU224" s="38"/>
      <c r="SUV224" s="38"/>
      <c r="SUW224" s="39"/>
      <c r="SUX224" s="34"/>
      <c r="SUY224" s="34"/>
      <c r="SUZ224" s="34"/>
      <c r="SVA224" s="35"/>
      <c r="SVB224" s="35"/>
      <c r="SVC224" s="35"/>
      <c r="SVD224" s="35"/>
      <c r="SVE224" s="35"/>
      <c r="SVF224" s="34"/>
      <c r="SVG224" s="34"/>
      <c r="SVH224" s="36"/>
      <c r="SVI224" s="36"/>
      <c r="SVJ224" s="37"/>
      <c r="SVK224" s="37"/>
      <c r="SVL224" s="38"/>
      <c r="SVM224" s="38"/>
      <c r="SVN224" s="39"/>
      <c r="SVO224" s="34"/>
      <c r="SVP224" s="34"/>
      <c r="SVQ224" s="34"/>
      <c r="SVR224" s="35"/>
      <c r="SVS224" s="35"/>
      <c r="SVT224" s="35"/>
      <c r="SVU224" s="35"/>
      <c r="SVV224" s="35"/>
      <c r="SVW224" s="34"/>
      <c r="SVX224" s="34"/>
      <c r="SVY224" s="36"/>
      <c r="SVZ224" s="36"/>
      <c r="SWA224" s="37"/>
      <c r="SWB224" s="37"/>
      <c r="SWC224" s="38"/>
      <c r="SWD224" s="38"/>
      <c r="SWE224" s="39"/>
      <c r="SWF224" s="34"/>
      <c r="SWG224" s="34"/>
      <c r="SWH224" s="34"/>
      <c r="SWI224" s="35"/>
      <c r="SWJ224" s="35"/>
      <c r="SWK224" s="35"/>
      <c r="SWL224" s="35"/>
      <c r="SWM224" s="35"/>
      <c r="SWN224" s="34"/>
      <c r="SWO224" s="34"/>
      <c r="SWP224" s="36"/>
      <c r="SWQ224" s="36"/>
      <c r="SWR224" s="37"/>
      <c r="SWS224" s="37"/>
      <c r="SWT224" s="38"/>
      <c r="SWU224" s="38"/>
      <c r="SWV224" s="39"/>
      <c r="SWW224" s="34"/>
      <c r="SWX224" s="34"/>
      <c r="SWY224" s="34"/>
      <c r="SWZ224" s="35"/>
      <c r="SXA224" s="35"/>
      <c r="SXB224" s="35"/>
      <c r="SXC224" s="35"/>
      <c r="SXD224" s="35"/>
      <c r="SXE224" s="34"/>
      <c r="SXF224" s="34"/>
      <c r="SXG224" s="36"/>
      <c r="SXH224" s="36"/>
      <c r="SXI224" s="37"/>
      <c r="SXJ224" s="37"/>
      <c r="SXK224" s="38"/>
      <c r="SXL224" s="38"/>
      <c r="SXM224" s="39"/>
      <c r="SXN224" s="34"/>
      <c r="SXO224" s="34"/>
      <c r="SXP224" s="34"/>
      <c r="SXQ224" s="35"/>
      <c r="SXR224" s="35"/>
      <c r="SXS224" s="35"/>
      <c r="SXT224" s="35"/>
      <c r="SXU224" s="35"/>
      <c r="SXV224" s="34"/>
      <c r="SXW224" s="34"/>
      <c r="SXX224" s="36"/>
      <c r="SXY224" s="36"/>
      <c r="SXZ224" s="37"/>
      <c r="SYA224" s="37"/>
      <c r="SYB224" s="38"/>
      <c r="SYC224" s="38"/>
      <c r="SYD224" s="39"/>
      <c r="SYE224" s="34"/>
      <c r="SYF224" s="34"/>
      <c r="SYG224" s="34"/>
      <c r="SYH224" s="35"/>
      <c r="SYI224" s="35"/>
      <c r="SYJ224" s="35"/>
      <c r="SYK224" s="35"/>
      <c r="SYL224" s="35"/>
      <c r="SYM224" s="34"/>
      <c r="SYN224" s="34"/>
      <c r="SYO224" s="36"/>
      <c r="SYP224" s="36"/>
      <c r="SYQ224" s="37"/>
      <c r="SYR224" s="37"/>
      <c r="SYS224" s="38"/>
      <c r="SYT224" s="38"/>
      <c r="SYU224" s="39"/>
      <c r="SYV224" s="34"/>
      <c r="SYW224" s="34"/>
      <c r="SYX224" s="34"/>
      <c r="SYY224" s="35"/>
      <c r="SYZ224" s="35"/>
      <c r="SZA224" s="35"/>
      <c r="SZB224" s="35"/>
      <c r="SZC224" s="35"/>
      <c r="SZD224" s="34"/>
      <c r="SZE224" s="34"/>
      <c r="SZF224" s="36"/>
      <c r="SZG224" s="36"/>
      <c r="SZH224" s="37"/>
      <c r="SZI224" s="37"/>
      <c r="SZJ224" s="38"/>
      <c r="SZK224" s="38"/>
      <c r="SZL224" s="39"/>
      <c r="SZM224" s="34"/>
      <c r="SZN224" s="34"/>
      <c r="SZO224" s="34"/>
      <c r="SZP224" s="35"/>
      <c r="SZQ224" s="35"/>
      <c r="SZR224" s="35"/>
      <c r="SZS224" s="35"/>
      <c r="SZT224" s="35"/>
      <c r="SZU224" s="34"/>
      <c r="SZV224" s="34"/>
      <c r="SZW224" s="36"/>
      <c r="SZX224" s="36"/>
      <c r="SZY224" s="37"/>
      <c r="SZZ224" s="37"/>
      <c r="TAA224" s="38"/>
      <c r="TAB224" s="38"/>
      <c r="TAC224" s="39"/>
      <c r="TAD224" s="34"/>
      <c r="TAE224" s="34"/>
      <c r="TAF224" s="34"/>
      <c r="TAG224" s="35"/>
      <c r="TAH224" s="35"/>
      <c r="TAI224" s="35"/>
      <c r="TAJ224" s="35"/>
      <c r="TAK224" s="35"/>
      <c r="TAL224" s="34"/>
      <c r="TAM224" s="34"/>
      <c r="TAN224" s="36"/>
      <c r="TAO224" s="36"/>
      <c r="TAP224" s="37"/>
      <c r="TAQ224" s="37"/>
      <c r="TAR224" s="38"/>
      <c r="TAS224" s="38"/>
      <c r="TAT224" s="39"/>
      <c r="TAU224" s="34"/>
      <c r="TAV224" s="34"/>
      <c r="TAW224" s="34"/>
      <c r="TAX224" s="35"/>
      <c r="TAY224" s="35"/>
      <c r="TAZ224" s="35"/>
      <c r="TBA224" s="35"/>
      <c r="TBB224" s="35"/>
      <c r="TBC224" s="34"/>
      <c r="TBD224" s="34"/>
      <c r="TBE224" s="36"/>
      <c r="TBF224" s="36"/>
      <c r="TBG224" s="37"/>
      <c r="TBH224" s="37"/>
      <c r="TBI224" s="38"/>
      <c r="TBJ224" s="38"/>
      <c r="TBK224" s="39"/>
      <c r="TBL224" s="34"/>
      <c r="TBM224" s="34"/>
      <c r="TBN224" s="34"/>
      <c r="TBO224" s="35"/>
      <c r="TBP224" s="35"/>
      <c r="TBQ224" s="35"/>
      <c r="TBR224" s="35"/>
      <c r="TBS224" s="35"/>
      <c r="TBT224" s="34"/>
      <c r="TBU224" s="34"/>
      <c r="TBV224" s="36"/>
      <c r="TBW224" s="36"/>
      <c r="TBX224" s="37"/>
      <c r="TBY224" s="37"/>
      <c r="TBZ224" s="38"/>
      <c r="TCA224" s="38"/>
      <c r="TCB224" s="39"/>
      <c r="TCC224" s="34"/>
      <c r="TCD224" s="34"/>
      <c r="TCE224" s="34"/>
      <c r="TCF224" s="35"/>
      <c r="TCG224" s="35"/>
      <c r="TCH224" s="35"/>
      <c r="TCI224" s="35"/>
      <c r="TCJ224" s="35"/>
      <c r="TCK224" s="34"/>
      <c r="TCL224" s="34"/>
      <c r="TCM224" s="36"/>
      <c r="TCN224" s="36"/>
      <c r="TCO224" s="37"/>
      <c r="TCP224" s="37"/>
      <c r="TCQ224" s="38"/>
      <c r="TCR224" s="38"/>
      <c r="TCS224" s="39"/>
      <c r="TCT224" s="34"/>
      <c r="TCU224" s="34"/>
      <c r="TCV224" s="34"/>
      <c r="TCW224" s="35"/>
      <c r="TCX224" s="35"/>
      <c r="TCY224" s="35"/>
      <c r="TCZ224" s="35"/>
      <c r="TDA224" s="35"/>
      <c r="TDB224" s="34"/>
      <c r="TDC224" s="34"/>
      <c r="TDD224" s="36"/>
      <c r="TDE224" s="36"/>
      <c r="TDF224" s="37"/>
      <c r="TDG224" s="37"/>
      <c r="TDH224" s="38"/>
      <c r="TDI224" s="38"/>
      <c r="TDJ224" s="39"/>
      <c r="TDK224" s="34"/>
      <c r="TDL224" s="34"/>
      <c r="TDM224" s="34"/>
      <c r="TDN224" s="35"/>
      <c r="TDO224" s="35"/>
      <c r="TDP224" s="35"/>
      <c r="TDQ224" s="35"/>
      <c r="TDR224" s="35"/>
      <c r="TDS224" s="34"/>
      <c r="TDT224" s="34"/>
      <c r="TDU224" s="36"/>
      <c r="TDV224" s="36"/>
      <c r="TDW224" s="37"/>
      <c r="TDX224" s="37"/>
      <c r="TDY224" s="38"/>
      <c r="TDZ224" s="38"/>
      <c r="TEA224" s="39"/>
      <c r="TEB224" s="34"/>
      <c r="TEC224" s="34"/>
      <c r="TED224" s="34"/>
      <c r="TEE224" s="35"/>
      <c r="TEF224" s="35"/>
      <c r="TEG224" s="35"/>
      <c r="TEH224" s="35"/>
      <c r="TEI224" s="35"/>
      <c r="TEJ224" s="34"/>
      <c r="TEK224" s="34"/>
      <c r="TEL224" s="36"/>
      <c r="TEM224" s="36"/>
      <c r="TEN224" s="37"/>
      <c r="TEO224" s="37"/>
      <c r="TEP224" s="38"/>
      <c r="TEQ224" s="38"/>
      <c r="TER224" s="39"/>
      <c r="TES224" s="34"/>
      <c r="TET224" s="34"/>
      <c r="TEU224" s="34"/>
      <c r="TEV224" s="35"/>
      <c r="TEW224" s="35"/>
      <c r="TEX224" s="35"/>
      <c r="TEY224" s="35"/>
      <c r="TEZ224" s="35"/>
      <c r="TFA224" s="34"/>
      <c r="TFB224" s="34"/>
      <c r="TFC224" s="36"/>
      <c r="TFD224" s="36"/>
      <c r="TFE224" s="37"/>
      <c r="TFF224" s="37"/>
      <c r="TFG224" s="38"/>
      <c r="TFH224" s="38"/>
      <c r="TFI224" s="39"/>
      <c r="TFJ224" s="34"/>
      <c r="TFK224" s="34"/>
      <c r="TFL224" s="34"/>
      <c r="TFM224" s="35"/>
      <c r="TFN224" s="35"/>
      <c r="TFO224" s="35"/>
      <c r="TFP224" s="35"/>
      <c r="TFQ224" s="35"/>
      <c r="TFR224" s="34"/>
      <c r="TFS224" s="34"/>
      <c r="TFT224" s="36"/>
      <c r="TFU224" s="36"/>
      <c r="TFV224" s="37"/>
      <c r="TFW224" s="37"/>
      <c r="TFX224" s="38"/>
      <c r="TFY224" s="38"/>
      <c r="TFZ224" s="39"/>
      <c r="TGA224" s="34"/>
      <c r="TGB224" s="34"/>
      <c r="TGC224" s="34"/>
      <c r="TGD224" s="35"/>
      <c r="TGE224" s="35"/>
      <c r="TGF224" s="35"/>
      <c r="TGG224" s="35"/>
      <c r="TGH224" s="35"/>
      <c r="TGI224" s="34"/>
      <c r="TGJ224" s="34"/>
      <c r="TGK224" s="36"/>
      <c r="TGL224" s="36"/>
      <c r="TGM224" s="37"/>
      <c r="TGN224" s="37"/>
      <c r="TGO224" s="38"/>
      <c r="TGP224" s="38"/>
      <c r="TGQ224" s="39"/>
      <c r="TGR224" s="34"/>
      <c r="TGS224" s="34"/>
      <c r="TGT224" s="34"/>
      <c r="TGU224" s="35"/>
      <c r="TGV224" s="35"/>
      <c r="TGW224" s="35"/>
      <c r="TGX224" s="35"/>
      <c r="TGY224" s="35"/>
      <c r="TGZ224" s="34"/>
      <c r="THA224" s="34"/>
      <c r="THB224" s="36"/>
      <c r="THC224" s="36"/>
      <c r="THD224" s="37"/>
      <c r="THE224" s="37"/>
      <c r="THF224" s="38"/>
      <c r="THG224" s="38"/>
      <c r="THH224" s="39"/>
      <c r="THI224" s="34"/>
      <c r="THJ224" s="34"/>
      <c r="THK224" s="34"/>
      <c r="THL224" s="35"/>
      <c r="THM224" s="35"/>
      <c r="THN224" s="35"/>
      <c r="THO224" s="35"/>
      <c r="THP224" s="35"/>
      <c r="THQ224" s="34"/>
      <c r="THR224" s="34"/>
      <c r="THS224" s="36"/>
      <c r="THT224" s="36"/>
      <c r="THU224" s="37"/>
      <c r="THV224" s="37"/>
      <c r="THW224" s="38"/>
      <c r="THX224" s="38"/>
      <c r="THY224" s="39"/>
      <c r="THZ224" s="34"/>
      <c r="TIA224" s="34"/>
      <c r="TIB224" s="34"/>
      <c r="TIC224" s="35"/>
      <c r="TID224" s="35"/>
      <c r="TIE224" s="35"/>
      <c r="TIF224" s="35"/>
      <c r="TIG224" s="35"/>
      <c r="TIH224" s="34"/>
      <c r="TII224" s="34"/>
      <c r="TIJ224" s="36"/>
      <c r="TIK224" s="36"/>
      <c r="TIL224" s="37"/>
      <c r="TIM224" s="37"/>
      <c r="TIN224" s="38"/>
      <c r="TIO224" s="38"/>
      <c r="TIP224" s="39"/>
      <c r="TIQ224" s="34"/>
      <c r="TIR224" s="34"/>
      <c r="TIS224" s="34"/>
      <c r="TIT224" s="35"/>
      <c r="TIU224" s="35"/>
      <c r="TIV224" s="35"/>
      <c r="TIW224" s="35"/>
      <c r="TIX224" s="35"/>
      <c r="TIY224" s="34"/>
      <c r="TIZ224" s="34"/>
      <c r="TJA224" s="36"/>
      <c r="TJB224" s="36"/>
      <c r="TJC224" s="37"/>
      <c r="TJD224" s="37"/>
      <c r="TJE224" s="38"/>
      <c r="TJF224" s="38"/>
      <c r="TJG224" s="39"/>
      <c r="TJH224" s="34"/>
      <c r="TJI224" s="34"/>
      <c r="TJJ224" s="34"/>
      <c r="TJK224" s="35"/>
      <c r="TJL224" s="35"/>
      <c r="TJM224" s="35"/>
      <c r="TJN224" s="35"/>
      <c r="TJO224" s="35"/>
      <c r="TJP224" s="34"/>
      <c r="TJQ224" s="34"/>
      <c r="TJR224" s="36"/>
      <c r="TJS224" s="36"/>
      <c r="TJT224" s="37"/>
      <c r="TJU224" s="37"/>
      <c r="TJV224" s="38"/>
      <c r="TJW224" s="38"/>
      <c r="TJX224" s="39"/>
      <c r="TJY224" s="34"/>
      <c r="TJZ224" s="34"/>
      <c r="TKA224" s="34"/>
      <c r="TKB224" s="35"/>
      <c r="TKC224" s="35"/>
      <c r="TKD224" s="35"/>
      <c r="TKE224" s="35"/>
      <c r="TKF224" s="35"/>
      <c r="TKG224" s="34"/>
      <c r="TKH224" s="34"/>
      <c r="TKI224" s="36"/>
      <c r="TKJ224" s="36"/>
      <c r="TKK224" s="37"/>
      <c r="TKL224" s="37"/>
      <c r="TKM224" s="38"/>
      <c r="TKN224" s="38"/>
      <c r="TKO224" s="39"/>
      <c r="TKP224" s="34"/>
      <c r="TKQ224" s="34"/>
      <c r="TKR224" s="34"/>
      <c r="TKS224" s="35"/>
      <c r="TKT224" s="35"/>
      <c r="TKU224" s="35"/>
      <c r="TKV224" s="35"/>
      <c r="TKW224" s="35"/>
      <c r="TKX224" s="34"/>
      <c r="TKY224" s="34"/>
      <c r="TKZ224" s="36"/>
      <c r="TLA224" s="36"/>
      <c r="TLB224" s="37"/>
      <c r="TLC224" s="37"/>
      <c r="TLD224" s="38"/>
      <c r="TLE224" s="38"/>
      <c r="TLF224" s="39"/>
      <c r="TLG224" s="34"/>
      <c r="TLH224" s="34"/>
      <c r="TLI224" s="34"/>
      <c r="TLJ224" s="35"/>
      <c r="TLK224" s="35"/>
      <c r="TLL224" s="35"/>
      <c r="TLM224" s="35"/>
      <c r="TLN224" s="35"/>
      <c r="TLO224" s="34"/>
      <c r="TLP224" s="34"/>
      <c r="TLQ224" s="36"/>
      <c r="TLR224" s="36"/>
      <c r="TLS224" s="37"/>
      <c r="TLT224" s="37"/>
      <c r="TLU224" s="38"/>
      <c r="TLV224" s="38"/>
      <c r="TLW224" s="39"/>
      <c r="TLX224" s="34"/>
      <c r="TLY224" s="34"/>
      <c r="TLZ224" s="34"/>
      <c r="TMA224" s="35"/>
      <c r="TMB224" s="35"/>
      <c r="TMC224" s="35"/>
      <c r="TMD224" s="35"/>
      <c r="TME224" s="35"/>
      <c r="TMF224" s="34"/>
      <c r="TMG224" s="34"/>
      <c r="TMH224" s="36"/>
      <c r="TMI224" s="36"/>
      <c r="TMJ224" s="37"/>
      <c r="TMK224" s="37"/>
      <c r="TML224" s="38"/>
      <c r="TMM224" s="38"/>
      <c r="TMN224" s="39"/>
      <c r="TMO224" s="34"/>
      <c r="TMP224" s="34"/>
      <c r="TMQ224" s="34"/>
      <c r="TMR224" s="35"/>
      <c r="TMS224" s="35"/>
      <c r="TMT224" s="35"/>
      <c r="TMU224" s="35"/>
      <c r="TMV224" s="35"/>
      <c r="TMW224" s="34"/>
      <c r="TMX224" s="34"/>
      <c r="TMY224" s="36"/>
      <c r="TMZ224" s="36"/>
      <c r="TNA224" s="37"/>
      <c r="TNB224" s="37"/>
      <c r="TNC224" s="38"/>
      <c r="TND224" s="38"/>
      <c r="TNE224" s="39"/>
      <c r="TNF224" s="34"/>
      <c r="TNG224" s="34"/>
      <c r="TNH224" s="34"/>
      <c r="TNI224" s="35"/>
      <c r="TNJ224" s="35"/>
      <c r="TNK224" s="35"/>
      <c r="TNL224" s="35"/>
      <c r="TNM224" s="35"/>
      <c r="TNN224" s="34"/>
      <c r="TNO224" s="34"/>
      <c r="TNP224" s="36"/>
      <c r="TNQ224" s="36"/>
      <c r="TNR224" s="37"/>
      <c r="TNS224" s="37"/>
      <c r="TNT224" s="38"/>
      <c r="TNU224" s="38"/>
      <c r="TNV224" s="39"/>
      <c r="TNW224" s="34"/>
      <c r="TNX224" s="34"/>
      <c r="TNY224" s="34"/>
      <c r="TNZ224" s="35"/>
      <c r="TOA224" s="35"/>
      <c r="TOB224" s="35"/>
      <c r="TOC224" s="35"/>
      <c r="TOD224" s="35"/>
      <c r="TOE224" s="34"/>
      <c r="TOF224" s="34"/>
      <c r="TOG224" s="36"/>
      <c r="TOH224" s="36"/>
      <c r="TOI224" s="37"/>
      <c r="TOJ224" s="37"/>
      <c r="TOK224" s="38"/>
      <c r="TOL224" s="38"/>
      <c r="TOM224" s="39"/>
      <c r="TON224" s="34"/>
      <c r="TOO224" s="34"/>
      <c r="TOP224" s="34"/>
      <c r="TOQ224" s="35"/>
      <c r="TOR224" s="35"/>
      <c r="TOS224" s="35"/>
      <c r="TOT224" s="35"/>
      <c r="TOU224" s="35"/>
      <c r="TOV224" s="34"/>
      <c r="TOW224" s="34"/>
      <c r="TOX224" s="36"/>
      <c r="TOY224" s="36"/>
      <c r="TOZ224" s="37"/>
      <c r="TPA224" s="37"/>
      <c r="TPB224" s="38"/>
      <c r="TPC224" s="38"/>
      <c r="TPD224" s="39"/>
      <c r="TPE224" s="34"/>
      <c r="TPF224" s="34"/>
      <c r="TPG224" s="34"/>
      <c r="TPH224" s="35"/>
      <c r="TPI224" s="35"/>
      <c r="TPJ224" s="35"/>
      <c r="TPK224" s="35"/>
      <c r="TPL224" s="35"/>
      <c r="TPM224" s="34"/>
      <c r="TPN224" s="34"/>
      <c r="TPO224" s="36"/>
      <c r="TPP224" s="36"/>
      <c r="TPQ224" s="37"/>
      <c r="TPR224" s="37"/>
      <c r="TPS224" s="38"/>
      <c r="TPT224" s="38"/>
      <c r="TPU224" s="39"/>
      <c r="TPV224" s="34"/>
      <c r="TPW224" s="34"/>
      <c r="TPX224" s="34"/>
      <c r="TPY224" s="35"/>
      <c r="TPZ224" s="35"/>
      <c r="TQA224" s="35"/>
      <c r="TQB224" s="35"/>
      <c r="TQC224" s="35"/>
      <c r="TQD224" s="34"/>
      <c r="TQE224" s="34"/>
      <c r="TQF224" s="36"/>
      <c r="TQG224" s="36"/>
      <c r="TQH224" s="37"/>
      <c r="TQI224" s="37"/>
      <c r="TQJ224" s="38"/>
      <c r="TQK224" s="38"/>
      <c r="TQL224" s="39"/>
      <c r="TQM224" s="34"/>
      <c r="TQN224" s="34"/>
      <c r="TQO224" s="34"/>
      <c r="TQP224" s="35"/>
      <c r="TQQ224" s="35"/>
      <c r="TQR224" s="35"/>
      <c r="TQS224" s="35"/>
      <c r="TQT224" s="35"/>
      <c r="TQU224" s="34"/>
      <c r="TQV224" s="34"/>
      <c r="TQW224" s="36"/>
      <c r="TQX224" s="36"/>
      <c r="TQY224" s="37"/>
      <c r="TQZ224" s="37"/>
      <c r="TRA224" s="38"/>
      <c r="TRB224" s="38"/>
      <c r="TRC224" s="39"/>
      <c r="TRD224" s="34"/>
      <c r="TRE224" s="34"/>
      <c r="TRF224" s="34"/>
      <c r="TRG224" s="35"/>
      <c r="TRH224" s="35"/>
      <c r="TRI224" s="35"/>
      <c r="TRJ224" s="35"/>
      <c r="TRK224" s="35"/>
      <c r="TRL224" s="34"/>
      <c r="TRM224" s="34"/>
      <c r="TRN224" s="36"/>
      <c r="TRO224" s="36"/>
      <c r="TRP224" s="37"/>
      <c r="TRQ224" s="37"/>
      <c r="TRR224" s="38"/>
      <c r="TRS224" s="38"/>
      <c r="TRT224" s="39"/>
      <c r="TRU224" s="34"/>
      <c r="TRV224" s="34"/>
      <c r="TRW224" s="34"/>
      <c r="TRX224" s="35"/>
      <c r="TRY224" s="35"/>
      <c r="TRZ224" s="35"/>
      <c r="TSA224" s="35"/>
      <c r="TSB224" s="35"/>
      <c r="TSC224" s="34"/>
      <c r="TSD224" s="34"/>
      <c r="TSE224" s="36"/>
      <c r="TSF224" s="36"/>
      <c r="TSG224" s="37"/>
      <c r="TSH224" s="37"/>
      <c r="TSI224" s="38"/>
      <c r="TSJ224" s="38"/>
      <c r="TSK224" s="39"/>
      <c r="TSL224" s="34"/>
      <c r="TSM224" s="34"/>
      <c r="TSN224" s="34"/>
      <c r="TSO224" s="35"/>
      <c r="TSP224" s="35"/>
      <c r="TSQ224" s="35"/>
      <c r="TSR224" s="35"/>
      <c r="TSS224" s="35"/>
      <c r="TST224" s="34"/>
      <c r="TSU224" s="34"/>
      <c r="TSV224" s="36"/>
      <c r="TSW224" s="36"/>
      <c r="TSX224" s="37"/>
      <c r="TSY224" s="37"/>
      <c r="TSZ224" s="38"/>
      <c r="TTA224" s="38"/>
      <c r="TTB224" s="39"/>
      <c r="TTC224" s="34"/>
      <c r="TTD224" s="34"/>
      <c r="TTE224" s="34"/>
      <c r="TTF224" s="35"/>
      <c r="TTG224" s="35"/>
      <c r="TTH224" s="35"/>
      <c r="TTI224" s="35"/>
      <c r="TTJ224" s="35"/>
      <c r="TTK224" s="34"/>
      <c r="TTL224" s="34"/>
      <c r="TTM224" s="36"/>
      <c r="TTN224" s="36"/>
      <c r="TTO224" s="37"/>
      <c r="TTP224" s="37"/>
      <c r="TTQ224" s="38"/>
      <c r="TTR224" s="38"/>
      <c r="TTS224" s="39"/>
      <c r="TTT224" s="34"/>
      <c r="TTU224" s="34"/>
      <c r="TTV224" s="34"/>
      <c r="TTW224" s="35"/>
      <c r="TTX224" s="35"/>
      <c r="TTY224" s="35"/>
      <c r="TTZ224" s="35"/>
      <c r="TUA224" s="35"/>
      <c r="TUB224" s="34"/>
      <c r="TUC224" s="34"/>
      <c r="TUD224" s="36"/>
      <c r="TUE224" s="36"/>
      <c r="TUF224" s="37"/>
      <c r="TUG224" s="37"/>
      <c r="TUH224" s="38"/>
      <c r="TUI224" s="38"/>
      <c r="TUJ224" s="39"/>
      <c r="TUK224" s="34"/>
      <c r="TUL224" s="34"/>
      <c r="TUM224" s="34"/>
      <c r="TUN224" s="35"/>
      <c r="TUO224" s="35"/>
      <c r="TUP224" s="35"/>
      <c r="TUQ224" s="35"/>
      <c r="TUR224" s="35"/>
      <c r="TUS224" s="34"/>
      <c r="TUT224" s="34"/>
      <c r="TUU224" s="36"/>
      <c r="TUV224" s="36"/>
      <c r="TUW224" s="37"/>
      <c r="TUX224" s="37"/>
      <c r="TUY224" s="38"/>
      <c r="TUZ224" s="38"/>
      <c r="TVA224" s="39"/>
      <c r="TVB224" s="34"/>
      <c r="TVC224" s="34"/>
      <c r="TVD224" s="34"/>
      <c r="TVE224" s="35"/>
      <c r="TVF224" s="35"/>
      <c r="TVG224" s="35"/>
      <c r="TVH224" s="35"/>
      <c r="TVI224" s="35"/>
      <c r="TVJ224" s="34"/>
      <c r="TVK224" s="34"/>
      <c r="TVL224" s="36"/>
      <c r="TVM224" s="36"/>
      <c r="TVN224" s="37"/>
      <c r="TVO224" s="37"/>
      <c r="TVP224" s="38"/>
      <c r="TVQ224" s="38"/>
      <c r="TVR224" s="39"/>
      <c r="TVS224" s="34"/>
      <c r="TVT224" s="34"/>
      <c r="TVU224" s="34"/>
      <c r="TVV224" s="35"/>
      <c r="TVW224" s="35"/>
      <c r="TVX224" s="35"/>
      <c r="TVY224" s="35"/>
      <c r="TVZ224" s="35"/>
      <c r="TWA224" s="34"/>
      <c r="TWB224" s="34"/>
      <c r="TWC224" s="36"/>
      <c r="TWD224" s="36"/>
      <c r="TWE224" s="37"/>
      <c r="TWF224" s="37"/>
      <c r="TWG224" s="38"/>
      <c r="TWH224" s="38"/>
      <c r="TWI224" s="39"/>
      <c r="TWJ224" s="34"/>
      <c r="TWK224" s="34"/>
      <c r="TWL224" s="34"/>
      <c r="TWM224" s="35"/>
      <c r="TWN224" s="35"/>
      <c r="TWO224" s="35"/>
      <c r="TWP224" s="35"/>
      <c r="TWQ224" s="35"/>
      <c r="TWR224" s="34"/>
      <c r="TWS224" s="34"/>
      <c r="TWT224" s="36"/>
      <c r="TWU224" s="36"/>
      <c r="TWV224" s="37"/>
      <c r="TWW224" s="37"/>
      <c r="TWX224" s="38"/>
      <c r="TWY224" s="38"/>
      <c r="TWZ224" s="39"/>
      <c r="TXA224" s="34"/>
      <c r="TXB224" s="34"/>
      <c r="TXC224" s="34"/>
      <c r="TXD224" s="35"/>
      <c r="TXE224" s="35"/>
      <c r="TXF224" s="35"/>
      <c r="TXG224" s="35"/>
      <c r="TXH224" s="35"/>
      <c r="TXI224" s="34"/>
      <c r="TXJ224" s="34"/>
      <c r="TXK224" s="36"/>
      <c r="TXL224" s="36"/>
      <c r="TXM224" s="37"/>
      <c r="TXN224" s="37"/>
      <c r="TXO224" s="38"/>
      <c r="TXP224" s="38"/>
      <c r="TXQ224" s="39"/>
      <c r="TXR224" s="34"/>
      <c r="TXS224" s="34"/>
      <c r="TXT224" s="34"/>
      <c r="TXU224" s="35"/>
      <c r="TXV224" s="35"/>
      <c r="TXW224" s="35"/>
      <c r="TXX224" s="35"/>
      <c r="TXY224" s="35"/>
      <c r="TXZ224" s="34"/>
      <c r="TYA224" s="34"/>
      <c r="TYB224" s="36"/>
      <c r="TYC224" s="36"/>
      <c r="TYD224" s="37"/>
      <c r="TYE224" s="37"/>
      <c r="TYF224" s="38"/>
      <c r="TYG224" s="38"/>
      <c r="TYH224" s="39"/>
      <c r="TYI224" s="34"/>
      <c r="TYJ224" s="34"/>
      <c r="TYK224" s="34"/>
      <c r="TYL224" s="35"/>
      <c r="TYM224" s="35"/>
      <c r="TYN224" s="35"/>
      <c r="TYO224" s="35"/>
      <c r="TYP224" s="35"/>
      <c r="TYQ224" s="34"/>
      <c r="TYR224" s="34"/>
      <c r="TYS224" s="36"/>
      <c r="TYT224" s="36"/>
      <c r="TYU224" s="37"/>
      <c r="TYV224" s="37"/>
      <c r="TYW224" s="38"/>
      <c r="TYX224" s="38"/>
      <c r="TYY224" s="39"/>
      <c r="TYZ224" s="34"/>
      <c r="TZA224" s="34"/>
      <c r="TZB224" s="34"/>
      <c r="TZC224" s="35"/>
      <c r="TZD224" s="35"/>
      <c r="TZE224" s="35"/>
      <c r="TZF224" s="35"/>
      <c r="TZG224" s="35"/>
      <c r="TZH224" s="34"/>
      <c r="TZI224" s="34"/>
      <c r="TZJ224" s="36"/>
      <c r="TZK224" s="36"/>
      <c r="TZL224" s="37"/>
      <c r="TZM224" s="37"/>
      <c r="TZN224" s="38"/>
      <c r="TZO224" s="38"/>
      <c r="TZP224" s="39"/>
      <c r="TZQ224" s="34"/>
      <c r="TZR224" s="34"/>
      <c r="TZS224" s="34"/>
      <c r="TZT224" s="35"/>
      <c r="TZU224" s="35"/>
      <c r="TZV224" s="35"/>
      <c r="TZW224" s="35"/>
      <c r="TZX224" s="35"/>
      <c r="TZY224" s="34"/>
      <c r="TZZ224" s="34"/>
      <c r="UAA224" s="36"/>
      <c r="UAB224" s="36"/>
      <c r="UAC224" s="37"/>
      <c r="UAD224" s="37"/>
      <c r="UAE224" s="38"/>
      <c r="UAF224" s="38"/>
      <c r="UAG224" s="39"/>
      <c r="UAH224" s="34"/>
      <c r="UAI224" s="34"/>
      <c r="UAJ224" s="34"/>
      <c r="UAK224" s="35"/>
      <c r="UAL224" s="35"/>
      <c r="UAM224" s="35"/>
      <c r="UAN224" s="35"/>
      <c r="UAO224" s="35"/>
      <c r="UAP224" s="34"/>
      <c r="UAQ224" s="34"/>
      <c r="UAR224" s="36"/>
      <c r="UAS224" s="36"/>
      <c r="UAT224" s="37"/>
      <c r="UAU224" s="37"/>
      <c r="UAV224" s="38"/>
      <c r="UAW224" s="38"/>
      <c r="UAX224" s="39"/>
      <c r="UAY224" s="34"/>
      <c r="UAZ224" s="34"/>
      <c r="UBA224" s="34"/>
      <c r="UBB224" s="35"/>
      <c r="UBC224" s="35"/>
      <c r="UBD224" s="35"/>
      <c r="UBE224" s="35"/>
      <c r="UBF224" s="35"/>
      <c r="UBG224" s="34"/>
      <c r="UBH224" s="34"/>
      <c r="UBI224" s="36"/>
      <c r="UBJ224" s="36"/>
      <c r="UBK224" s="37"/>
      <c r="UBL224" s="37"/>
      <c r="UBM224" s="38"/>
      <c r="UBN224" s="38"/>
      <c r="UBO224" s="39"/>
      <c r="UBP224" s="34"/>
      <c r="UBQ224" s="34"/>
      <c r="UBR224" s="34"/>
      <c r="UBS224" s="35"/>
      <c r="UBT224" s="35"/>
      <c r="UBU224" s="35"/>
      <c r="UBV224" s="35"/>
      <c r="UBW224" s="35"/>
      <c r="UBX224" s="34"/>
      <c r="UBY224" s="34"/>
      <c r="UBZ224" s="36"/>
      <c r="UCA224" s="36"/>
      <c r="UCB224" s="37"/>
      <c r="UCC224" s="37"/>
      <c r="UCD224" s="38"/>
      <c r="UCE224" s="38"/>
      <c r="UCF224" s="39"/>
      <c r="UCG224" s="34"/>
      <c r="UCH224" s="34"/>
      <c r="UCI224" s="34"/>
      <c r="UCJ224" s="35"/>
      <c r="UCK224" s="35"/>
      <c r="UCL224" s="35"/>
      <c r="UCM224" s="35"/>
      <c r="UCN224" s="35"/>
      <c r="UCO224" s="34"/>
      <c r="UCP224" s="34"/>
      <c r="UCQ224" s="36"/>
      <c r="UCR224" s="36"/>
      <c r="UCS224" s="37"/>
      <c r="UCT224" s="37"/>
      <c r="UCU224" s="38"/>
      <c r="UCV224" s="38"/>
      <c r="UCW224" s="39"/>
      <c r="UCX224" s="34"/>
      <c r="UCY224" s="34"/>
      <c r="UCZ224" s="34"/>
      <c r="UDA224" s="35"/>
      <c r="UDB224" s="35"/>
      <c r="UDC224" s="35"/>
      <c r="UDD224" s="35"/>
      <c r="UDE224" s="35"/>
      <c r="UDF224" s="34"/>
      <c r="UDG224" s="34"/>
      <c r="UDH224" s="36"/>
      <c r="UDI224" s="36"/>
      <c r="UDJ224" s="37"/>
      <c r="UDK224" s="37"/>
      <c r="UDL224" s="38"/>
      <c r="UDM224" s="38"/>
      <c r="UDN224" s="39"/>
      <c r="UDO224" s="34"/>
      <c r="UDP224" s="34"/>
      <c r="UDQ224" s="34"/>
      <c r="UDR224" s="35"/>
      <c r="UDS224" s="35"/>
      <c r="UDT224" s="35"/>
      <c r="UDU224" s="35"/>
      <c r="UDV224" s="35"/>
      <c r="UDW224" s="34"/>
      <c r="UDX224" s="34"/>
      <c r="UDY224" s="36"/>
      <c r="UDZ224" s="36"/>
      <c r="UEA224" s="37"/>
      <c r="UEB224" s="37"/>
      <c r="UEC224" s="38"/>
      <c r="UED224" s="38"/>
      <c r="UEE224" s="39"/>
      <c r="UEF224" s="34"/>
      <c r="UEG224" s="34"/>
      <c r="UEH224" s="34"/>
      <c r="UEI224" s="35"/>
      <c r="UEJ224" s="35"/>
      <c r="UEK224" s="35"/>
      <c r="UEL224" s="35"/>
      <c r="UEM224" s="35"/>
      <c r="UEN224" s="34"/>
      <c r="UEO224" s="34"/>
      <c r="UEP224" s="36"/>
      <c r="UEQ224" s="36"/>
      <c r="UER224" s="37"/>
      <c r="UES224" s="37"/>
      <c r="UET224" s="38"/>
      <c r="UEU224" s="38"/>
      <c r="UEV224" s="39"/>
      <c r="UEW224" s="34"/>
      <c r="UEX224" s="34"/>
      <c r="UEY224" s="34"/>
      <c r="UEZ224" s="35"/>
      <c r="UFA224" s="35"/>
      <c r="UFB224" s="35"/>
      <c r="UFC224" s="35"/>
      <c r="UFD224" s="35"/>
      <c r="UFE224" s="34"/>
      <c r="UFF224" s="34"/>
      <c r="UFG224" s="36"/>
      <c r="UFH224" s="36"/>
      <c r="UFI224" s="37"/>
      <c r="UFJ224" s="37"/>
      <c r="UFK224" s="38"/>
      <c r="UFL224" s="38"/>
      <c r="UFM224" s="39"/>
      <c r="UFN224" s="34"/>
      <c r="UFO224" s="34"/>
      <c r="UFP224" s="34"/>
      <c r="UFQ224" s="35"/>
      <c r="UFR224" s="35"/>
      <c r="UFS224" s="35"/>
      <c r="UFT224" s="35"/>
      <c r="UFU224" s="35"/>
      <c r="UFV224" s="34"/>
      <c r="UFW224" s="34"/>
      <c r="UFX224" s="36"/>
      <c r="UFY224" s="36"/>
      <c r="UFZ224" s="37"/>
      <c r="UGA224" s="37"/>
      <c r="UGB224" s="38"/>
      <c r="UGC224" s="38"/>
      <c r="UGD224" s="39"/>
      <c r="UGE224" s="34"/>
      <c r="UGF224" s="34"/>
      <c r="UGG224" s="34"/>
      <c r="UGH224" s="35"/>
      <c r="UGI224" s="35"/>
      <c r="UGJ224" s="35"/>
      <c r="UGK224" s="35"/>
      <c r="UGL224" s="35"/>
      <c r="UGM224" s="34"/>
      <c r="UGN224" s="34"/>
      <c r="UGO224" s="36"/>
      <c r="UGP224" s="36"/>
      <c r="UGQ224" s="37"/>
      <c r="UGR224" s="37"/>
      <c r="UGS224" s="38"/>
      <c r="UGT224" s="38"/>
      <c r="UGU224" s="39"/>
      <c r="UGV224" s="34"/>
      <c r="UGW224" s="34"/>
      <c r="UGX224" s="34"/>
      <c r="UGY224" s="35"/>
      <c r="UGZ224" s="35"/>
      <c r="UHA224" s="35"/>
      <c r="UHB224" s="35"/>
      <c r="UHC224" s="35"/>
      <c r="UHD224" s="34"/>
      <c r="UHE224" s="34"/>
      <c r="UHF224" s="36"/>
      <c r="UHG224" s="36"/>
      <c r="UHH224" s="37"/>
      <c r="UHI224" s="37"/>
      <c r="UHJ224" s="38"/>
      <c r="UHK224" s="38"/>
      <c r="UHL224" s="39"/>
      <c r="UHM224" s="34"/>
      <c r="UHN224" s="34"/>
      <c r="UHO224" s="34"/>
      <c r="UHP224" s="35"/>
      <c r="UHQ224" s="35"/>
      <c r="UHR224" s="35"/>
      <c r="UHS224" s="35"/>
      <c r="UHT224" s="35"/>
      <c r="UHU224" s="34"/>
      <c r="UHV224" s="34"/>
      <c r="UHW224" s="36"/>
      <c r="UHX224" s="36"/>
      <c r="UHY224" s="37"/>
      <c r="UHZ224" s="37"/>
      <c r="UIA224" s="38"/>
      <c r="UIB224" s="38"/>
      <c r="UIC224" s="39"/>
      <c r="UID224" s="34"/>
      <c r="UIE224" s="34"/>
      <c r="UIF224" s="34"/>
      <c r="UIG224" s="35"/>
      <c r="UIH224" s="35"/>
      <c r="UII224" s="35"/>
      <c r="UIJ224" s="35"/>
      <c r="UIK224" s="35"/>
      <c r="UIL224" s="34"/>
      <c r="UIM224" s="34"/>
      <c r="UIN224" s="36"/>
      <c r="UIO224" s="36"/>
      <c r="UIP224" s="37"/>
      <c r="UIQ224" s="37"/>
      <c r="UIR224" s="38"/>
      <c r="UIS224" s="38"/>
      <c r="UIT224" s="39"/>
      <c r="UIU224" s="34"/>
      <c r="UIV224" s="34"/>
      <c r="UIW224" s="34"/>
      <c r="UIX224" s="35"/>
      <c r="UIY224" s="35"/>
      <c r="UIZ224" s="35"/>
      <c r="UJA224" s="35"/>
      <c r="UJB224" s="35"/>
      <c r="UJC224" s="34"/>
      <c r="UJD224" s="34"/>
      <c r="UJE224" s="36"/>
      <c r="UJF224" s="36"/>
      <c r="UJG224" s="37"/>
      <c r="UJH224" s="37"/>
      <c r="UJI224" s="38"/>
      <c r="UJJ224" s="38"/>
      <c r="UJK224" s="39"/>
      <c r="UJL224" s="34"/>
      <c r="UJM224" s="34"/>
      <c r="UJN224" s="34"/>
      <c r="UJO224" s="35"/>
      <c r="UJP224" s="35"/>
      <c r="UJQ224" s="35"/>
      <c r="UJR224" s="35"/>
      <c r="UJS224" s="35"/>
      <c r="UJT224" s="34"/>
      <c r="UJU224" s="34"/>
      <c r="UJV224" s="36"/>
      <c r="UJW224" s="36"/>
      <c r="UJX224" s="37"/>
      <c r="UJY224" s="37"/>
      <c r="UJZ224" s="38"/>
      <c r="UKA224" s="38"/>
      <c r="UKB224" s="39"/>
      <c r="UKC224" s="34"/>
      <c r="UKD224" s="34"/>
      <c r="UKE224" s="34"/>
      <c r="UKF224" s="35"/>
      <c r="UKG224" s="35"/>
      <c r="UKH224" s="35"/>
      <c r="UKI224" s="35"/>
      <c r="UKJ224" s="35"/>
      <c r="UKK224" s="34"/>
      <c r="UKL224" s="34"/>
      <c r="UKM224" s="36"/>
      <c r="UKN224" s="36"/>
      <c r="UKO224" s="37"/>
      <c r="UKP224" s="37"/>
      <c r="UKQ224" s="38"/>
      <c r="UKR224" s="38"/>
      <c r="UKS224" s="39"/>
      <c r="UKT224" s="34"/>
      <c r="UKU224" s="34"/>
      <c r="UKV224" s="34"/>
      <c r="UKW224" s="35"/>
      <c r="UKX224" s="35"/>
      <c r="UKY224" s="35"/>
      <c r="UKZ224" s="35"/>
      <c r="ULA224" s="35"/>
      <c r="ULB224" s="34"/>
      <c r="ULC224" s="34"/>
      <c r="ULD224" s="36"/>
      <c r="ULE224" s="36"/>
      <c r="ULF224" s="37"/>
      <c r="ULG224" s="37"/>
      <c r="ULH224" s="38"/>
      <c r="ULI224" s="38"/>
      <c r="ULJ224" s="39"/>
      <c r="ULK224" s="34"/>
      <c r="ULL224" s="34"/>
      <c r="ULM224" s="34"/>
      <c r="ULN224" s="35"/>
      <c r="ULO224" s="35"/>
      <c r="ULP224" s="35"/>
      <c r="ULQ224" s="35"/>
      <c r="ULR224" s="35"/>
      <c r="ULS224" s="34"/>
      <c r="ULT224" s="34"/>
      <c r="ULU224" s="36"/>
      <c r="ULV224" s="36"/>
      <c r="ULW224" s="37"/>
      <c r="ULX224" s="37"/>
      <c r="ULY224" s="38"/>
      <c r="ULZ224" s="38"/>
      <c r="UMA224" s="39"/>
      <c r="UMB224" s="34"/>
      <c r="UMC224" s="34"/>
      <c r="UMD224" s="34"/>
      <c r="UME224" s="35"/>
      <c r="UMF224" s="35"/>
      <c r="UMG224" s="35"/>
      <c r="UMH224" s="35"/>
      <c r="UMI224" s="35"/>
      <c r="UMJ224" s="34"/>
      <c r="UMK224" s="34"/>
      <c r="UML224" s="36"/>
      <c r="UMM224" s="36"/>
      <c r="UMN224" s="37"/>
      <c r="UMO224" s="37"/>
      <c r="UMP224" s="38"/>
      <c r="UMQ224" s="38"/>
      <c r="UMR224" s="39"/>
      <c r="UMS224" s="34"/>
      <c r="UMT224" s="34"/>
      <c r="UMU224" s="34"/>
      <c r="UMV224" s="35"/>
      <c r="UMW224" s="35"/>
      <c r="UMX224" s="35"/>
      <c r="UMY224" s="35"/>
      <c r="UMZ224" s="35"/>
      <c r="UNA224" s="34"/>
      <c r="UNB224" s="34"/>
      <c r="UNC224" s="36"/>
      <c r="UND224" s="36"/>
      <c r="UNE224" s="37"/>
      <c r="UNF224" s="37"/>
      <c r="UNG224" s="38"/>
      <c r="UNH224" s="38"/>
      <c r="UNI224" s="39"/>
      <c r="UNJ224" s="34"/>
      <c r="UNK224" s="34"/>
      <c r="UNL224" s="34"/>
      <c r="UNM224" s="35"/>
      <c r="UNN224" s="35"/>
      <c r="UNO224" s="35"/>
      <c r="UNP224" s="35"/>
      <c r="UNQ224" s="35"/>
      <c r="UNR224" s="34"/>
      <c r="UNS224" s="34"/>
      <c r="UNT224" s="36"/>
      <c r="UNU224" s="36"/>
      <c r="UNV224" s="37"/>
      <c r="UNW224" s="37"/>
      <c r="UNX224" s="38"/>
      <c r="UNY224" s="38"/>
      <c r="UNZ224" s="39"/>
      <c r="UOA224" s="34"/>
      <c r="UOB224" s="34"/>
      <c r="UOC224" s="34"/>
      <c r="UOD224" s="35"/>
      <c r="UOE224" s="35"/>
      <c r="UOF224" s="35"/>
      <c r="UOG224" s="35"/>
      <c r="UOH224" s="35"/>
      <c r="UOI224" s="34"/>
      <c r="UOJ224" s="34"/>
      <c r="UOK224" s="36"/>
      <c r="UOL224" s="36"/>
      <c r="UOM224" s="37"/>
      <c r="UON224" s="37"/>
      <c r="UOO224" s="38"/>
      <c r="UOP224" s="38"/>
      <c r="UOQ224" s="39"/>
      <c r="UOR224" s="34"/>
      <c r="UOS224" s="34"/>
      <c r="UOT224" s="34"/>
      <c r="UOU224" s="35"/>
      <c r="UOV224" s="35"/>
      <c r="UOW224" s="35"/>
      <c r="UOX224" s="35"/>
      <c r="UOY224" s="35"/>
      <c r="UOZ224" s="34"/>
      <c r="UPA224" s="34"/>
      <c r="UPB224" s="36"/>
      <c r="UPC224" s="36"/>
      <c r="UPD224" s="37"/>
      <c r="UPE224" s="37"/>
      <c r="UPF224" s="38"/>
      <c r="UPG224" s="38"/>
      <c r="UPH224" s="39"/>
      <c r="UPI224" s="34"/>
      <c r="UPJ224" s="34"/>
      <c r="UPK224" s="34"/>
      <c r="UPL224" s="35"/>
      <c r="UPM224" s="35"/>
      <c r="UPN224" s="35"/>
      <c r="UPO224" s="35"/>
      <c r="UPP224" s="35"/>
      <c r="UPQ224" s="34"/>
      <c r="UPR224" s="34"/>
      <c r="UPS224" s="36"/>
      <c r="UPT224" s="36"/>
      <c r="UPU224" s="37"/>
      <c r="UPV224" s="37"/>
      <c r="UPW224" s="38"/>
      <c r="UPX224" s="38"/>
      <c r="UPY224" s="39"/>
      <c r="UPZ224" s="34"/>
      <c r="UQA224" s="34"/>
      <c r="UQB224" s="34"/>
      <c r="UQC224" s="35"/>
      <c r="UQD224" s="35"/>
      <c r="UQE224" s="35"/>
      <c r="UQF224" s="35"/>
      <c r="UQG224" s="35"/>
      <c r="UQH224" s="34"/>
      <c r="UQI224" s="34"/>
      <c r="UQJ224" s="36"/>
      <c r="UQK224" s="36"/>
      <c r="UQL224" s="37"/>
      <c r="UQM224" s="37"/>
      <c r="UQN224" s="38"/>
      <c r="UQO224" s="38"/>
      <c r="UQP224" s="39"/>
      <c r="UQQ224" s="34"/>
      <c r="UQR224" s="34"/>
      <c r="UQS224" s="34"/>
      <c r="UQT224" s="35"/>
      <c r="UQU224" s="35"/>
      <c r="UQV224" s="35"/>
      <c r="UQW224" s="35"/>
      <c r="UQX224" s="35"/>
      <c r="UQY224" s="34"/>
      <c r="UQZ224" s="34"/>
      <c r="URA224" s="36"/>
      <c r="URB224" s="36"/>
      <c r="URC224" s="37"/>
      <c r="URD224" s="37"/>
      <c r="URE224" s="38"/>
      <c r="URF224" s="38"/>
      <c r="URG224" s="39"/>
      <c r="URH224" s="34"/>
      <c r="URI224" s="34"/>
      <c r="URJ224" s="34"/>
      <c r="URK224" s="35"/>
      <c r="URL224" s="35"/>
      <c r="URM224" s="35"/>
      <c r="URN224" s="35"/>
      <c r="URO224" s="35"/>
      <c r="URP224" s="34"/>
      <c r="URQ224" s="34"/>
      <c r="URR224" s="36"/>
      <c r="URS224" s="36"/>
      <c r="URT224" s="37"/>
      <c r="URU224" s="37"/>
      <c r="URV224" s="38"/>
      <c r="URW224" s="38"/>
      <c r="URX224" s="39"/>
      <c r="URY224" s="34"/>
      <c r="URZ224" s="34"/>
      <c r="USA224" s="34"/>
      <c r="USB224" s="35"/>
      <c r="USC224" s="35"/>
      <c r="USD224" s="35"/>
      <c r="USE224" s="35"/>
      <c r="USF224" s="35"/>
      <c r="USG224" s="34"/>
      <c r="USH224" s="34"/>
      <c r="USI224" s="36"/>
      <c r="USJ224" s="36"/>
      <c r="USK224" s="37"/>
      <c r="USL224" s="37"/>
      <c r="USM224" s="38"/>
      <c r="USN224" s="38"/>
      <c r="USO224" s="39"/>
      <c r="USP224" s="34"/>
      <c r="USQ224" s="34"/>
      <c r="USR224" s="34"/>
      <c r="USS224" s="35"/>
      <c r="UST224" s="35"/>
      <c r="USU224" s="35"/>
      <c r="USV224" s="35"/>
      <c r="USW224" s="35"/>
      <c r="USX224" s="34"/>
      <c r="USY224" s="34"/>
      <c r="USZ224" s="36"/>
      <c r="UTA224" s="36"/>
      <c r="UTB224" s="37"/>
      <c r="UTC224" s="37"/>
      <c r="UTD224" s="38"/>
      <c r="UTE224" s="38"/>
      <c r="UTF224" s="39"/>
      <c r="UTG224" s="34"/>
      <c r="UTH224" s="34"/>
      <c r="UTI224" s="34"/>
      <c r="UTJ224" s="35"/>
      <c r="UTK224" s="35"/>
      <c r="UTL224" s="35"/>
      <c r="UTM224" s="35"/>
      <c r="UTN224" s="35"/>
      <c r="UTO224" s="34"/>
      <c r="UTP224" s="34"/>
      <c r="UTQ224" s="36"/>
      <c r="UTR224" s="36"/>
      <c r="UTS224" s="37"/>
      <c r="UTT224" s="37"/>
      <c r="UTU224" s="38"/>
      <c r="UTV224" s="38"/>
      <c r="UTW224" s="39"/>
      <c r="UTX224" s="34"/>
      <c r="UTY224" s="34"/>
      <c r="UTZ224" s="34"/>
      <c r="UUA224" s="35"/>
      <c r="UUB224" s="35"/>
      <c r="UUC224" s="35"/>
      <c r="UUD224" s="35"/>
      <c r="UUE224" s="35"/>
      <c r="UUF224" s="34"/>
      <c r="UUG224" s="34"/>
      <c r="UUH224" s="36"/>
      <c r="UUI224" s="36"/>
      <c r="UUJ224" s="37"/>
      <c r="UUK224" s="37"/>
      <c r="UUL224" s="38"/>
      <c r="UUM224" s="38"/>
      <c r="UUN224" s="39"/>
      <c r="UUO224" s="34"/>
      <c r="UUP224" s="34"/>
      <c r="UUQ224" s="34"/>
      <c r="UUR224" s="35"/>
      <c r="UUS224" s="35"/>
      <c r="UUT224" s="35"/>
      <c r="UUU224" s="35"/>
      <c r="UUV224" s="35"/>
      <c r="UUW224" s="34"/>
      <c r="UUX224" s="34"/>
      <c r="UUY224" s="36"/>
      <c r="UUZ224" s="36"/>
      <c r="UVA224" s="37"/>
      <c r="UVB224" s="37"/>
      <c r="UVC224" s="38"/>
      <c r="UVD224" s="38"/>
      <c r="UVE224" s="39"/>
      <c r="UVF224" s="34"/>
      <c r="UVG224" s="34"/>
      <c r="UVH224" s="34"/>
      <c r="UVI224" s="35"/>
      <c r="UVJ224" s="35"/>
      <c r="UVK224" s="35"/>
      <c r="UVL224" s="35"/>
      <c r="UVM224" s="35"/>
      <c r="UVN224" s="34"/>
      <c r="UVO224" s="34"/>
      <c r="UVP224" s="36"/>
      <c r="UVQ224" s="36"/>
      <c r="UVR224" s="37"/>
      <c r="UVS224" s="37"/>
      <c r="UVT224" s="38"/>
      <c r="UVU224" s="38"/>
      <c r="UVV224" s="39"/>
      <c r="UVW224" s="34"/>
      <c r="UVX224" s="34"/>
      <c r="UVY224" s="34"/>
      <c r="UVZ224" s="35"/>
      <c r="UWA224" s="35"/>
      <c r="UWB224" s="35"/>
      <c r="UWC224" s="35"/>
      <c r="UWD224" s="35"/>
      <c r="UWE224" s="34"/>
      <c r="UWF224" s="34"/>
      <c r="UWG224" s="36"/>
      <c r="UWH224" s="36"/>
      <c r="UWI224" s="37"/>
      <c r="UWJ224" s="37"/>
      <c r="UWK224" s="38"/>
      <c r="UWL224" s="38"/>
      <c r="UWM224" s="39"/>
      <c r="UWN224" s="34"/>
      <c r="UWO224" s="34"/>
      <c r="UWP224" s="34"/>
      <c r="UWQ224" s="35"/>
      <c r="UWR224" s="35"/>
      <c r="UWS224" s="35"/>
      <c r="UWT224" s="35"/>
      <c r="UWU224" s="35"/>
      <c r="UWV224" s="34"/>
      <c r="UWW224" s="34"/>
      <c r="UWX224" s="36"/>
      <c r="UWY224" s="36"/>
      <c r="UWZ224" s="37"/>
      <c r="UXA224" s="37"/>
      <c r="UXB224" s="38"/>
      <c r="UXC224" s="38"/>
      <c r="UXD224" s="39"/>
      <c r="UXE224" s="34"/>
      <c r="UXF224" s="34"/>
      <c r="UXG224" s="34"/>
      <c r="UXH224" s="35"/>
      <c r="UXI224" s="35"/>
      <c r="UXJ224" s="35"/>
      <c r="UXK224" s="35"/>
      <c r="UXL224" s="35"/>
      <c r="UXM224" s="34"/>
      <c r="UXN224" s="34"/>
      <c r="UXO224" s="36"/>
      <c r="UXP224" s="36"/>
      <c r="UXQ224" s="37"/>
      <c r="UXR224" s="37"/>
      <c r="UXS224" s="38"/>
      <c r="UXT224" s="38"/>
      <c r="UXU224" s="39"/>
      <c r="UXV224" s="34"/>
      <c r="UXW224" s="34"/>
      <c r="UXX224" s="34"/>
      <c r="UXY224" s="35"/>
      <c r="UXZ224" s="35"/>
      <c r="UYA224" s="35"/>
      <c r="UYB224" s="35"/>
      <c r="UYC224" s="35"/>
      <c r="UYD224" s="34"/>
      <c r="UYE224" s="34"/>
      <c r="UYF224" s="36"/>
      <c r="UYG224" s="36"/>
      <c r="UYH224" s="37"/>
      <c r="UYI224" s="37"/>
      <c r="UYJ224" s="38"/>
      <c r="UYK224" s="38"/>
      <c r="UYL224" s="39"/>
      <c r="UYM224" s="34"/>
      <c r="UYN224" s="34"/>
      <c r="UYO224" s="34"/>
      <c r="UYP224" s="35"/>
      <c r="UYQ224" s="35"/>
      <c r="UYR224" s="35"/>
      <c r="UYS224" s="35"/>
      <c r="UYT224" s="35"/>
      <c r="UYU224" s="34"/>
      <c r="UYV224" s="34"/>
      <c r="UYW224" s="36"/>
      <c r="UYX224" s="36"/>
      <c r="UYY224" s="37"/>
      <c r="UYZ224" s="37"/>
      <c r="UZA224" s="38"/>
      <c r="UZB224" s="38"/>
      <c r="UZC224" s="39"/>
      <c r="UZD224" s="34"/>
      <c r="UZE224" s="34"/>
      <c r="UZF224" s="34"/>
      <c r="UZG224" s="35"/>
      <c r="UZH224" s="35"/>
      <c r="UZI224" s="35"/>
      <c r="UZJ224" s="35"/>
      <c r="UZK224" s="35"/>
      <c r="UZL224" s="34"/>
      <c r="UZM224" s="34"/>
      <c r="UZN224" s="36"/>
      <c r="UZO224" s="36"/>
      <c r="UZP224" s="37"/>
      <c r="UZQ224" s="37"/>
      <c r="UZR224" s="38"/>
      <c r="UZS224" s="38"/>
      <c r="UZT224" s="39"/>
      <c r="UZU224" s="34"/>
      <c r="UZV224" s="34"/>
      <c r="UZW224" s="34"/>
      <c r="UZX224" s="35"/>
      <c r="UZY224" s="35"/>
      <c r="UZZ224" s="35"/>
      <c r="VAA224" s="35"/>
      <c r="VAB224" s="35"/>
      <c r="VAC224" s="34"/>
      <c r="VAD224" s="34"/>
      <c r="VAE224" s="36"/>
      <c r="VAF224" s="36"/>
      <c r="VAG224" s="37"/>
      <c r="VAH224" s="37"/>
      <c r="VAI224" s="38"/>
      <c r="VAJ224" s="38"/>
      <c r="VAK224" s="39"/>
      <c r="VAL224" s="34"/>
      <c r="VAM224" s="34"/>
      <c r="VAN224" s="34"/>
      <c r="VAO224" s="35"/>
      <c r="VAP224" s="35"/>
      <c r="VAQ224" s="35"/>
      <c r="VAR224" s="35"/>
      <c r="VAS224" s="35"/>
      <c r="VAT224" s="34"/>
      <c r="VAU224" s="34"/>
      <c r="VAV224" s="36"/>
      <c r="VAW224" s="36"/>
      <c r="VAX224" s="37"/>
      <c r="VAY224" s="37"/>
      <c r="VAZ224" s="38"/>
      <c r="VBA224" s="38"/>
      <c r="VBB224" s="39"/>
      <c r="VBC224" s="34"/>
      <c r="VBD224" s="34"/>
      <c r="VBE224" s="34"/>
      <c r="VBF224" s="35"/>
      <c r="VBG224" s="35"/>
      <c r="VBH224" s="35"/>
      <c r="VBI224" s="35"/>
      <c r="VBJ224" s="35"/>
      <c r="VBK224" s="34"/>
      <c r="VBL224" s="34"/>
      <c r="VBM224" s="36"/>
      <c r="VBN224" s="36"/>
      <c r="VBO224" s="37"/>
      <c r="VBP224" s="37"/>
      <c r="VBQ224" s="38"/>
      <c r="VBR224" s="38"/>
      <c r="VBS224" s="39"/>
      <c r="VBT224" s="34"/>
      <c r="VBU224" s="34"/>
      <c r="VBV224" s="34"/>
      <c r="VBW224" s="35"/>
      <c r="VBX224" s="35"/>
      <c r="VBY224" s="35"/>
      <c r="VBZ224" s="35"/>
      <c r="VCA224" s="35"/>
      <c r="VCB224" s="34"/>
      <c r="VCC224" s="34"/>
      <c r="VCD224" s="36"/>
      <c r="VCE224" s="36"/>
      <c r="VCF224" s="37"/>
      <c r="VCG224" s="37"/>
      <c r="VCH224" s="38"/>
      <c r="VCI224" s="38"/>
      <c r="VCJ224" s="39"/>
      <c r="VCK224" s="34"/>
      <c r="VCL224" s="34"/>
      <c r="VCM224" s="34"/>
      <c r="VCN224" s="35"/>
      <c r="VCO224" s="35"/>
      <c r="VCP224" s="35"/>
      <c r="VCQ224" s="35"/>
      <c r="VCR224" s="35"/>
      <c r="VCS224" s="34"/>
      <c r="VCT224" s="34"/>
      <c r="VCU224" s="36"/>
      <c r="VCV224" s="36"/>
      <c r="VCW224" s="37"/>
      <c r="VCX224" s="37"/>
      <c r="VCY224" s="38"/>
      <c r="VCZ224" s="38"/>
      <c r="VDA224" s="39"/>
      <c r="VDB224" s="34"/>
      <c r="VDC224" s="34"/>
      <c r="VDD224" s="34"/>
      <c r="VDE224" s="35"/>
      <c r="VDF224" s="35"/>
      <c r="VDG224" s="35"/>
      <c r="VDH224" s="35"/>
      <c r="VDI224" s="35"/>
      <c r="VDJ224" s="34"/>
      <c r="VDK224" s="34"/>
      <c r="VDL224" s="36"/>
      <c r="VDM224" s="36"/>
      <c r="VDN224" s="37"/>
      <c r="VDO224" s="37"/>
      <c r="VDP224" s="38"/>
      <c r="VDQ224" s="38"/>
      <c r="VDR224" s="39"/>
      <c r="VDS224" s="34"/>
      <c r="VDT224" s="34"/>
      <c r="VDU224" s="34"/>
      <c r="VDV224" s="35"/>
      <c r="VDW224" s="35"/>
      <c r="VDX224" s="35"/>
      <c r="VDY224" s="35"/>
      <c r="VDZ224" s="35"/>
      <c r="VEA224" s="34"/>
      <c r="VEB224" s="34"/>
      <c r="VEC224" s="36"/>
      <c r="VED224" s="36"/>
      <c r="VEE224" s="37"/>
      <c r="VEF224" s="37"/>
      <c r="VEG224" s="38"/>
      <c r="VEH224" s="38"/>
      <c r="VEI224" s="39"/>
      <c r="VEJ224" s="34"/>
      <c r="VEK224" s="34"/>
      <c r="VEL224" s="34"/>
      <c r="VEM224" s="35"/>
      <c r="VEN224" s="35"/>
      <c r="VEO224" s="35"/>
      <c r="VEP224" s="35"/>
      <c r="VEQ224" s="35"/>
      <c r="VER224" s="34"/>
      <c r="VES224" s="34"/>
      <c r="VET224" s="36"/>
      <c r="VEU224" s="36"/>
      <c r="VEV224" s="37"/>
      <c r="VEW224" s="37"/>
      <c r="VEX224" s="38"/>
      <c r="VEY224" s="38"/>
      <c r="VEZ224" s="39"/>
      <c r="VFA224" s="34"/>
      <c r="VFB224" s="34"/>
      <c r="VFC224" s="34"/>
      <c r="VFD224" s="35"/>
      <c r="VFE224" s="35"/>
      <c r="VFF224" s="35"/>
      <c r="VFG224" s="35"/>
      <c r="VFH224" s="35"/>
      <c r="VFI224" s="34"/>
      <c r="VFJ224" s="34"/>
      <c r="VFK224" s="36"/>
      <c r="VFL224" s="36"/>
      <c r="VFM224" s="37"/>
      <c r="VFN224" s="37"/>
      <c r="VFO224" s="38"/>
      <c r="VFP224" s="38"/>
      <c r="VFQ224" s="39"/>
      <c r="VFR224" s="34"/>
      <c r="VFS224" s="34"/>
      <c r="VFT224" s="34"/>
      <c r="VFU224" s="35"/>
      <c r="VFV224" s="35"/>
      <c r="VFW224" s="35"/>
      <c r="VFX224" s="35"/>
      <c r="VFY224" s="35"/>
      <c r="VFZ224" s="34"/>
      <c r="VGA224" s="34"/>
      <c r="VGB224" s="36"/>
      <c r="VGC224" s="36"/>
      <c r="VGD224" s="37"/>
      <c r="VGE224" s="37"/>
      <c r="VGF224" s="38"/>
      <c r="VGG224" s="38"/>
      <c r="VGH224" s="39"/>
      <c r="VGI224" s="34"/>
      <c r="VGJ224" s="34"/>
      <c r="VGK224" s="34"/>
      <c r="VGL224" s="35"/>
      <c r="VGM224" s="35"/>
      <c r="VGN224" s="35"/>
      <c r="VGO224" s="35"/>
      <c r="VGP224" s="35"/>
      <c r="VGQ224" s="34"/>
      <c r="VGR224" s="34"/>
      <c r="VGS224" s="36"/>
      <c r="VGT224" s="36"/>
      <c r="VGU224" s="37"/>
      <c r="VGV224" s="37"/>
      <c r="VGW224" s="38"/>
      <c r="VGX224" s="38"/>
      <c r="VGY224" s="39"/>
      <c r="VGZ224" s="34"/>
      <c r="VHA224" s="34"/>
      <c r="VHB224" s="34"/>
      <c r="VHC224" s="35"/>
      <c r="VHD224" s="35"/>
      <c r="VHE224" s="35"/>
      <c r="VHF224" s="35"/>
      <c r="VHG224" s="35"/>
      <c r="VHH224" s="34"/>
      <c r="VHI224" s="34"/>
      <c r="VHJ224" s="36"/>
      <c r="VHK224" s="36"/>
      <c r="VHL224" s="37"/>
      <c r="VHM224" s="37"/>
      <c r="VHN224" s="38"/>
      <c r="VHO224" s="38"/>
      <c r="VHP224" s="39"/>
      <c r="VHQ224" s="34"/>
      <c r="VHR224" s="34"/>
      <c r="VHS224" s="34"/>
      <c r="VHT224" s="35"/>
      <c r="VHU224" s="35"/>
      <c r="VHV224" s="35"/>
      <c r="VHW224" s="35"/>
      <c r="VHX224" s="35"/>
      <c r="VHY224" s="34"/>
      <c r="VHZ224" s="34"/>
      <c r="VIA224" s="36"/>
      <c r="VIB224" s="36"/>
      <c r="VIC224" s="37"/>
      <c r="VID224" s="37"/>
      <c r="VIE224" s="38"/>
      <c r="VIF224" s="38"/>
      <c r="VIG224" s="39"/>
      <c r="VIH224" s="34"/>
      <c r="VII224" s="34"/>
      <c r="VIJ224" s="34"/>
      <c r="VIK224" s="35"/>
      <c r="VIL224" s="35"/>
      <c r="VIM224" s="35"/>
      <c r="VIN224" s="35"/>
      <c r="VIO224" s="35"/>
      <c r="VIP224" s="34"/>
      <c r="VIQ224" s="34"/>
      <c r="VIR224" s="36"/>
      <c r="VIS224" s="36"/>
      <c r="VIT224" s="37"/>
      <c r="VIU224" s="37"/>
      <c r="VIV224" s="38"/>
      <c r="VIW224" s="38"/>
      <c r="VIX224" s="39"/>
      <c r="VIY224" s="34"/>
      <c r="VIZ224" s="34"/>
      <c r="VJA224" s="34"/>
      <c r="VJB224" s="35"/>
      <c r="VJC224" s="35"/>
      <c r="VJD224" s="35"/>
      <c r="VJE224" s="35"/>
      <c r="VJF224" s="35"/>
      <c r="VJG224" s="34"/>
      <c r="VJH224" s="34"/>
      <c r="VJI224" s="36"/>
      <c r="VJJ224" s="36"/>
      <c r="VJK224" s="37"/>
      <c r="VJL224" s="37"/>
      <c r="VJM224" s="38"/>
      <c r="VJN224" s="38"/>
      <c r="VJO224" s="39"/>
      <c r="VJP224" s="34"/>
      <c r="VJQ224" s="34"/>
      <c r="VJR224" s="34"/>
      <c r="VJS224" s="35"/>
      <c r="VJT224" s="35"/>
      <c r="VJU224" s="35"/>
      <c r="VJV224" s="35"/>
      <c r="VJW224" s="35"/>
      <c r="VJX224" s="34"/>
      <c r="VJY224" s="34"/>
      <c r="VJZ224" s="36"/>
      <c r="VKA224" s="36"/>
      <c r="VKB224" s="37"/>
      <c r="VKC224" s="37"/>
      <c r="VKD224" s="38"/>
      <c r="VKE224" s="38"/>
      <c r="VKF224" s="39"/>
      <c r="VKG224" s="34"/>
      <c r="VKH224" s="34"/>
      <c r="VKI224" s="34"/>
      <c r="VKJ224" s="35"/>
      <c r="VKK224" s="35"/>
      <c r="VKL224" s="35"/>
      <c r="VKM224" s="35"/>
      <c r="VKN224" s="35"/>
      <c r="VKO224" s="34"/>
      <c r="VKP224" s="34"/>
      <c r="VKQ224" s="36"/>
      <c r="VKR224" s="36"/>
      <c r="VKS224" s="37"/>
      <c r="VKT224" s="37"/>
      <c r="VKU224" s="38"/>
      <c r="VKV224" s="38"/>
      <c r="VKW224" s="39"/>
      <c r="VKX224" s="34"/>
      <c r="VKY224" s="34"/>
      <c r="VKZ224" s="34"/>
      <c r="VLA224" s="35"/>
      <c r="VLB224" s="35"/>
      <c r="VLC224" s="35"/>
      <c r="VLD224" s="35"/>
      <c r="VLE224" s="35"/>
      <c r="VLF224" s="34"/>
      <c r="VLG224" s="34"/>
      <c r="VLH224" s="36"/>
      <c r="VLI224" s="36"/>
      <c r="VLJ224" s="37"/>
      <c r="VLK224" s="37"/>
      <c r="VLL224" s="38"/>
      <c r="VLM224" s="38"/>
      <c r="VLN224" s="39"/>
      <c r="VLO224" s="34"/>
      <c r="VLP224" s="34"/>
      <c r="VLQ224" s="34"/>
      <c r="VLR224" s="35"/>
      <c r="VLS224" s="35"/>
      <c r="VLT224" s="35"/>
      <c r="VLU224" s="35"/>
      <c r="VLV224" s="35"/>
      <c r="VLW224" s="34"/>
      <c r="VLX224" s="34"/>
      <c r="VLY224" s="36"/>
      <c r="VLZ224" s="36"/>
      <c r="VMA224" s="37"/>
      <c r="VMB224" s="37"/>
      <c r="VMC224" s="38"/>
      <c r="VMD224" s="38"/>
      <c r="VME224" s="39"/>
      <c r="VMF224" s="34"/>
      <c r="VMG224" s="34"/>
      <c r="VMH224" s="34"/>
      <c r="VMI224" s="35"/>
      <c r="VMJ224" s="35"/>
      <c r="VMK224" s="35"/>
      <c r="VML224" s="35"/>
      <c r="VMM224" s="35"/>
      <c r="VMN224" s="34"/>
      <c r="VMO224" s="34"/>
      <c r="VMP224" s="36"/>
      <c r="VMQ224" s="36"/>
      <c r="VMR224" s="37"/>
      <c r="VMS224" s="37"/>
      <c r="VMT224" s="38"/>
      <c r="VMU224" s="38"/>
      <c r="VMV224" s="39"/>
      <c r="VMW224" s="34"/>
      <c r="VMX224" s="34"/>
      <c r="VMY224" s="34"/>
      <c r="VMZ224" s="35"/>
      <c r="VNA224" s="35"/>
      <c r="VNB224" s="35"/>
      <c r="VNC224" s="35"/>
      <c r="VND224" s="35"/>
      <c r="VNE224" s="34"/>
      <c r="VNF224" s="34"/>
      <c r="VNG224" s="36"/>
      <c r="VNH224" s="36"/>
      <c r="VNI224" s="37"/>
      <c r="VNJ224" s="37"/>
      <c r="VNK224" s="38"/>
      <c r="VNL224" s="38"/>
      <c r="VNM224" s="39"/>
      <c r="VNN224" s="34"/>
      <c r="VNO224" s="34"/>
      <c r="VNP224" s="34"/>
      <c r="VNQ224" s="35"/>
      <c r="VNR224" s="35"/>
      <c r="VNS224" s="35"/>
      <c r="VNT224" s="35"/>
      <c r="VNU224" s="35"/>
      <c r="VNV224" s="34"/>
      <c r="VNW224" s="34"/>
      <c r="VNX224" s="36"/>
      <c r="VNY224" s="36"/>
      <c r="VNZ224" s="37"/>
      <c r="VOA224" s="37"/>
      <c r="VOB224" s="38"/>
      <c r="VOC224" s="38"/>
      <c r="VOD224" s="39"/>
      <c r="VOE224" s="34"/>
      <c r="VOF224" s="34"/>
      <c r="VOG224" s="34"/>
      <c r="VOH224" s="35"/>
      <c r="VOI224" s="35"/>
      <c r="VOJ224" s="35"/>
      <c r="VOK224" s="35"/>
      <c r="VOL224" s="35"/>
      <c r="VOM224" s="34"/>
      <c r="VON224" s="34"/>
      <c r="VOO224" s="36"/>
      <c r="VOP224" s="36"/>
      <c r="VOQ224" s="37"/>
      <c r="VOR224" s="37"/>
      <c r="VOS224" s="38"/>
      <c r="VOT224" s="38"/>
      <c r="VOU224" s="39"/>
      <c r="VOV224" s="34"/>
      <c r="VOW224" s="34"/>
      <c r="VOX224" s="34"/>
      <c r="VOY224" s="35"/>
      <c r="VOZ224" s="35"/>
      <c r="VPA224" s="35"/>
      <c r="VPB224" s="35"/>
      <c r="VPC224" s="35"/>
      <c r="VPD224" s="34"/>
      <c r="VPE224" s="34"/>
      <c r="VPF224" s="36"/>
      <c r="VPG224" s="36"/>
      <c r="VPH224" s="37"/>
      <c r="VPI224" s="37"/>
      <c r="VPJ224" s="38"/>
      <c r="VPK224" s="38"/>
      <c r="VPL224" s="39"/>
      <c r="VPM224" s="34"/>
      <c r="VPN224" s="34"/>
      <c r="VPO224" s="34"/>
      <c r="VPP224" s="35"/>
      <c r="VPQ224" s="35"/>
      <c r="VPR224" s="35"/>
      <c r="VPS224" s="35"/>
      <c r="VPT224" s="35"/>
      <c r="VPU224" s="34"/>
      <c r="VPV224" s="34"/>
      <c r="VPW224" s="36"/>
      <c r="VPX224" s="36"/>
      <c r="VPY224" s="37"/>
      <c r="VPZ224" s="37"/>
      <c r="VQA224" s="38"/>
      <c r="VQB224" s="38"/>
      <c r="VQC224" s="39"/>
      <c r="VQD224" s="34"/>
      <c r="VQE224" s="34"/>
      <c r="VQF224" s="34"/>
      <c r="VQG224" s="35"/>
      <c r="VQH224" s="35"/>
      <c r="VQI224" s="35"/>
      <c r="VQJ224" s="35"/>
      <c r="VQK224" s="35"/>
      <c r="VQL224" s="34"/>
      <c r="VQM224" s="34"/>
      <c r="VQN224" s="36"/>
      <c r="VQO224" s="36"/>
      <c r="VQP224" s="37"/>
      <c r="VQQ224" s="37"/>
      <c r="VQR224" s="38"/>
      <c r="VQS224" s="38"/>
      <c r="VQT224" s="39"/>
      <c r="VQU224" s="34"/>
      <c r="VQV224" s="34"/>
      <c r="VQW224" s="34"/>
      <c r="VQX224" s="35"/>
      <c r="VQY224" s="35"/>
      <c r="VQZ224" s="35"/>
      <c r="VRA224" s="35"/>
      <c r="VRB224" s="35"/>
      <c r="VRC224" s="34"/>
      <c r="VRD224" s="34"/>
      <c r="VRE224" s="36"/>
      <c r="VRF224" s="36"/>
      <c r="VRG224" s="37"/>
      <c r="VRH224" s="37"/>
      <c r="VRI224" s="38"/>
      <c r="VRJ224" s="38"/>
      <c r="VRK224" s="39"/>
      <c r="VRL224" s="34"/>
      <c r="VRM224" s="34"/>
      <c r="VRN224" s="34"/>
      <c r="VRO224" s="35"/>
      <c r="VRP224" s="35"/>
      <c r="VRQ224" s="35"/>
      <c r="VRR224" s="35"/>
      <c r="VRS224" s="35"/>
      <c r="VRT224" s="34"/>
      <c r="VRU224" s="34"/>
      <c r="VRV224" s="36"/>
      <c r="VRW224" s="36"/>
      <c r="VRX224" s="37"/>
      <c r="VRY224" s="37"/>
      <c r="VRZ224" s="38"/>
      <c r="VSA224" s="38"/>
      <c r="VSB224" s="39"/>
      <c r="VSC224" s="34"/>
      <c r="VSD224" s="34"/>
      <c r="VSE224" s="34"/>
      <c r="VSF224" s="35"/>
      <c r="VSG224" s="35"/>
      <c r="VSH224" s="35"/>
      <c r="VSI224" s="35"/>
      <c r="VSJ224" s="35"/>
      <c r="VSK224" s="34"/>
      <c r="VSL224" s="34"/>
      <c r="VSM224" s="36"/>
      <c r="VSN224" s="36"/>
      <c r="VSO224" s="37"/>
      <c r="VSP224" s="37"/>
      <c r="VSQ224" s="38"/>
      <c r="VSR224" s="38"/>
      <c r="VSS224" s="39"/>
      <c r="VST224" s="34"/>
      <c r="VSU224" s="34"/>
      <c r="VSV224" s="34"/>
      <c r="VSW224" s="35"/>
      <c r="VSX224" s="35"/>
      <c r="VSY224" s="35"/>
      <c r="VSZ224" s="35"/>
      <c r="VTA224" s="35"/>
      <c r="VTB224" s="34"/>
      <c r="VTC224" s="34"/>
      <c r="VTD224" s="36"/>
      <c r="VTE224" s="36"/>
      <c r="VTF224" s="37"/>
      <c r="VTG224" s="37"/>
      <c r="VTH224" s="38"/>
      <c r="VTI224" s="38"/>
      <c r="VTJ224" s="39"/>
      <c r="VTK224" s="34"/>
      <c r="VTL224" s="34"/>
      <c r="VTM224" s="34"/>
      <c r="VTN224" s="35"/>
      <c r="VTO224" s="35"/>
      <c r="VTP224" s="35"/>
      <c r="VTQ224" s="35"/>
      <c r="VTR224" s="35"/>
      <c r="VTS224" s="34"/>
      <c r="VTT224" s="34"/>
      <c r="VTU224" s="36"/>
      <c r="VTV224" s="36"/>
      <c r="VTW224" s="37"/>
      <c r="VTX224" s="37"/>
      <c r="VTY224" s="38"/>
      <c r="VTZ224" s="38"/>
      <c r="VUA224" s="39"/>
      <c r="VUB224" s="34"/>
      <c r="VUC224" s="34"/>
      <c r="VUD224" s="34"/>
      <c r="VUE224" s="35"/>
      <c r="VUF224" s="35"/>
      <c r="VUG224" s="35"/>
      <c r="VUH224" s="35"/>
      <c r="VUI224" s="35"/>
      <c r="VUJ224" s="34"/>
      <c r="VUK224" s="34"/>
      <c r="VUL224" s="36"/>
      <c r="VUM224" s="36"/>
      <c r="VUN224" s="37"/>
      <c r="VUO224" s="37"/>
      <c r="VUP224" s="38"/>
      <c r="VUQ224" s="38"/>
      <c r="VUR224" s="39"/>
      <c r="VUS224" s="34"/>
      <c r="VUT224" s="34"/>
      <c r="VUU224" s="34"/>
      <c r="VUV224" s="35"/>
      <c r="VUW224" s="35"/>
      <c r="VUX224" s="35"/>
      <c r="VUY224" s="35"/>
      <c r="VUZ224" s="35"/>
      <c r="VVA224" s="34"/>
      <c r="VVB224" s="34"/>
      <c r="VVC224" s="36"/>
      <c r="VVD224" s="36"/>
      <c r="VVE224" s="37"/>
      <c r="VVF224" s="37"/>
      <c r="VVG224" s="38"/>
      <c r="VVH224" s="38"/>
      <c r="VVI224" s="39"/>
      <c r="VVJ224" s="34"/>
      <c r="VVK224" s="34"/>
      <c r="VVL224" s="34"/>
      <c r="VVM224" s="35"/>
      <c r="VVN224" s="35"/>
      <c r="VVO224" s="35"/>
      <c r="VVP224" s="35"/>
      <c r="VVQ224" s="35"/>
      <c r="VVR224" s="34"/>
      <c r="VVS224" s="34"/>
      <c r="VVT224" s="36"/>
      <c r="VVU224" s="36"/>
      <c r="VVV224" s="37"/>
      <c r="VVW224" s="37"/>
      <c r="VVX224" s="38"/>
      <c r="VVY224" s="38"/>
      <c r="VVZ224" s="39"/>
      <c r="VWA224" s="34"/>
      <c r="VWB224" s="34"/>
      <c r="VWC224" s="34"/>
      <c r="VWD224" s="35"/>
      <c r="VWE224" s="35"/>
      <c r="VWF224" s="35"/>
      <c r="VWG224" s="35"/>
      <c r="VWH224" s="35"/>
      <c r="VWI224" s="34"/>
      <c r="VWJ224" s="34"/>
      <c r="VWK224" s="36"/>
      <c r="VWL224" s="36"/>
      <c r="VWM224" s="37"/>
      <c r="VWN224" s="37"/>
      <c r="VWO224" s="38"/>
      <c r="VWP224" s="38"/>
      <c r="VWQ224" s="39"/>
      <c r="VWR224" s="34"/>
      <c r="VWS224" s="34"/>
      <c r="VWT224" s="34"/>
      <c r="VWU224" s="35"/>
      <c r="VWV224" s="35"/>
      <c r="VWW224" s="35"/>
      <c r="VWX224" s="35"/>
      <c r="VWY224" s="35"/>
      <c r="VWZ224" s="34"/>
      <c r="VXA224" s="34"/>
      <c r="VXB224" s="36"/>
      <c r="VXC224" s="36"/>
      <c r="VXD224" s="37"/>
      <c r="VXE224" s="37"/>
      <c r="VXF224" s="38"/>
      <c r="VXG224" s="38"/>
      <c r="VXH224" s="39"/>
      <c r="VXI224" s="34"/>
      <c r="VXJ224" s="34"/>
      <c r="VXK224" s="34"/>
      <c r="VXL224" s="35"/>
      <c r="VXM224" s="35"/>
      <c r="VXN224" s="35"/>
      <c r="VXO224" s="35"/>
      <c r="VXP224" s="35"/>
      <c r="VXQ224" s="34"/>
      <c r="VXR224" s="34"/>
      <c r="VXS224" s="36"/>
      <c r="VXT224" s="36"/>
      <c r="VXU224" s="37"/>
      <c r="VXV224" s="37"/>
      <c r="VXW224" s="38"/>
      <c r="VXX224" s="38"/>
      <c r="VXY224" s="39"/>
      <c r="VXZ224" s="34"/>
      <c r="VYA224" s="34"/>
      <c r="VYB224" s="34"/>
      <c r="VYC224" s="35"/>
      <c r="VYD224" s="35"/>
      <c r="VYE224" s="35"/>
      <c r="VYF224" s="35"/>
      <c r="VYG224" s="35"/>
      <c r="VYH224" s="34"/>
      <c r="VYI224" s="34"/>
      <c r="VYJ224" s="36"/>
      <c r="VYK224" s="36"/>
      <c r="VYL224" s="37"/>
      <c r="VYM224" s="37"/>
      <c r="VYN224" s="38"/>
      <c r="VYO224" s="38"/>
      <c r="VYP224" s="39"/>
      <c r="VYQ224" s="34"/>
      <c r="VYR224" s="34"/>
      <c r="VYS224" s="34"/>
      <c r="VYT224" s="35"/>
      <c r="VYU224" s="35"/>
      <c r="VYV224" s="35"/>
      <c r="VYW224" s="35"/>
      <c r="VYX224" s="35"/>
      <c r="VYY224" s="34"/>
      <c r="VYZ224" s="34"/>
      <c r="VZA224" s="36"/>
      <c r="VZB224" s="36"/>
      <c r="VZC224" s="37"/>
      <c r="VZD224" s="37"/>
      <c r="VZE224" s="38"/>
      <c r="VZF224" s="38"/>
      <c r="VZG224" s="39"/>
      <c r="VZH224" s="34"/>
      <c r="VZI224" s="34"/>
      <c r="VZJ224" s="34"/>
      <c r="VZK224" s="35"/>
      <c r="VZL224" s="35"/>
      <c r="VZM224" s="35"/>
      <c r="VZN224" s="35"/>
      <c r="VZO224" s="35"/>
      <c r="VZP224" s="34"/>
      <c r="VZQ224" s="34"/>
      <c r="VZR224" s="36"/>
      <c r="VZS224" s="36"/>
      <c r="VZT224" s="37"/>
      <c r="VZU224" s="37"/>
      <c r="VZV224" s="38"/>
      <c r="VZW224" s="38"/>
      <c r="VZX224" s="39"/>
      <c r="VZY224" s="34"/>
      <c r="VZZ224" s="34"/>
      <c r="WAA224" s="34"/>
      <c r="WAB224" s="35"/>
      <c r="WAC224" s="35"/>
      <c r="WAD224" s="35"/>
      <c r="WAE224" s="35"/>
      <c r="WAF224" s="35"/>
      <c r="WAG224" s="34"/>
      <c r="WAH224" s="34"/>
      <c r="WAI224" s="36"/>
      <c r="WAJ224" s="36"/>
      <c r="WAK224" s="37"/>
      <c r="WAL224" s="37"/>
      <c r="WAM224" s="38"/>
      <c r="WAN224" s="38"/>
      <c r="WAO224" s="39"/>
      <c r="WAP224" s="34"/>
      <c r="WAQ224" s="34"/>
      <c r="WAR224" s="34"/>
      <c r="WAS224" s="35"/>
      <c r="WAT224" s="35"/>
      <c r="WAU224" s="35"/>
      <c r="WAV224" s="35"/>
      <c r="WAW224" s="35"/>
      <c r="WAX224" s="34"/>
      <c r="WAY224" s="34"/>
      <c r="WAZ224" s="36"/>
      <c r="WBA224" s="36"/>
      <c r="WBB224" s="37"/>
      <c r="WBC224" s="37"/>
      <c r="WBD224" s="38"/>
      <c r="WBE224" s="38"/>
      <c r="WBF224" s="39"/>
      <c r="WBG224" s="34"/>
      <c r="WBH224" s="34"/>
      <c r="WBI224" s="34"/>
      <c r="WBJ224" s="35"/>
      <c r="WBK224" s="35"/>
      <c r="WBL224" s="35"/>
      <c r="WBM224" s="35"/>
      <c r="WBN224" s="35"/>
      <c r="WBO224" s="34"/>
      <c r="WBP224" s="34"/>
      <c r="WBQ224" s="36"/>
      <c r="WBR224" s="36"/>
      <c r="WBS224" s="37"/>
      <c r="WBT224" s="37"/>
      <c r="WBU224" s="38"/>
      <c r="WBV224" s="38"/>
      <c r="WBW224" s="39"/>
      <c r="WBX224" s="34"/>
      <c r="WBY224" s="34"/>
      <c r="WBZ224" s="34"/>
      <c r="WCA224" s="35"/>
      <c r="WCB224" s="35"/>
      <c r="WCC224" s="35"/>
      <c r="WCD224" s="35"/>
      <c r="WCE224" s="35"/>
      <c r="WCF224" s="34"/>
      <c r="WCG224" s="34"/>
      <c r="WCH224" s="36"/>
      <c r="WCI224" s="36"/>
      <c r="WCJ224" s="37"/>
      <c r="WCK224" s="37"/>
      <c r="WCL224" s="38"/>
      <c r="WCM224" s="38"/>
      <c r="WCN224" s="39"/>
      <c r="WCO224" s="34"/>
      <c r="WCP224" s="34"/>
      <c r="WCQ224" s="34"/>
      <c r="WCR224" s="35"/>
      <c r="WCS224" s="35"/>
      <c r="WCT224" s="35"/>
      <c r="WCU224" s="35"/>
      <c r="WCV224" s="35"/>
      <c r="WCW224" s="34"/>
      <c r="WCX224" s="34"/>
      <c r="WCY224" s="36"/>
      <c r="WCZ224" s="36"/>
      <c r="WDA224" s="37"/>
      <c r="WDB224" s="37"/>
      <c r="WDC224" s="38"/>
      <c r="WDD224" s="38"/>
      <c r="WDE224" s="39"/>
      <c r="WDF224" s="34"/>
      <c r="WDG224" s="34"/>
      <c r="WDH224" s="34"/>
      <c r="WDI224" s="35"/>
      <c r="WDJ224" s="35"/>
      <c r="WDK224" s="35"/>
      <c r="WDL224" s="35"/>
      <c r="WDM224" s="35"/>
      <c r="WDN224" s="34"/>
      <c r="WDO224" s="34"/>
      <c r="WDP224" s="36"/>
      <c r="WDQ224" s="36"/>
      <c r="WDR224" s="37"/>
      <c r="WDS224" s="37"/>
      <c r="WDT224" s="38"/>
      <c r="WDU224" s="38"/>
      <c r="WDV224" s="39"/>
      <c r="WDW224" s="34"/>
      <c r="WDX224" s="34"/>
      <c r="WDY224" s="34"/>
      <c r="WDZ224" s="35"/>
      <c r="WEA224" s="35"/>
      <c r="WEB224" s="35"/>
      <c r="WEC224" s="35"/>
      <c r="WED224" s="35"/>
      <c r="WEE224" s="34"/>
      <c r="WEF224" s="34"/>
      <c r="WEG224" s="36"/>
      <c r="WEH224" s="36"/>
      <c r="WEI224" s="37"/>
      <c r="WEJ224" s="37"/>
      <c r="WEK224" s="38"/>
      <c r="WEL224" s="38"/>
      <c r="WEM224" s="39"/>
      <c r="WEN224" s="34"/>
      <c r="WEO224" s="34"/>
      <c r="WEP224" s="34"/>
      <c r="WEQ224" s="35"/>
      <c r="WER224" s="35"/>
      <c r="WES224" s="35"/>
      <c r="WET224" s="35"/>
      <c r="WEU224" s="35"/>
      <c r="WEV224" s="34"/>
      <c r="WEW224" s="34"/>
      <c r="WEX224" s="36"/>
      <c r="WEY224" s="36"/>
      <c r="WEZ224" s="37"/>
      <c r="WFA224" s="37"/>
      <c r="WFB224" s="38"/>
      <c r="WFC224" s="38"/>
      <c r="WFD224" s="39"/>
      <c r="WFE224" s="34"/>
      <c r="WFF224" s="34"/>
      <c r="WFG224" s="34"/>
      <c r="WFH224" s="35"/>
      <c r="WFI224" s="35"/>
      <c r="WFJ224" s="35"/>
      <c r="WFK224" s="35"/>
      <c r="WFL224" s="35"/>
      <c r="WFM224" s="34"/>
      <c r="WFN224" s="34"/>
      <c r="WFO224" s="36"/>
      <c r="WFP224" s="36"/>
      <c r="WFQ224" s="37"/>
      <c r="WFR224" s="37"/>
      <c r="WFS224" s="38"/>
      <c r="WFT224" s="38"/>
      <c r="WFU224" s="39"/>
      <c r="WFV224" s="34"/>
      <c r="WFW224" s="34"/>
      <c r="WFX224" s="34"/>
      <c r="WFY224" s="35"/>
      <c r="WFZ224" s="35"/>
      <c r="WGA224" s="35"/>
      <c r="WGB224" s="35"/>
      <c r="WGC224" s="35"/>
      <c r="WGD224" s="34"/>
      <c r="WGE224" s="34"/>
      <c r="WGF224" s="36"/>
      <c r="WGG224" s="36"/>
      <c r="WGH224" s="37"/>
      <c r="WGI224" s="37"/>
      <c r="WGJ224" s="38"/>
      <c r="WGK224" s="38"/>
      <c r="WGL224" s="39"/>
      <c r="WGM224" s="34"/>
      <c r="WGN224" s="34"/>
      <c r="WGO224" s="34"/>
      <c r="WGP224" s="35"/>
      <c r="WGQ224" s="35"/>
      <c r="WGR224" s="35"/>
      <c r="WGS224" s="35"/>
      <c r="WGT224" s="35"/>
      <c r="WGU224" s="34"/>
      <c r="WGV224" s="34"/>
      <c r="WGW224" s="36"/>
      <c r="WGX224" s="36"/>
      <c r="WGY224" s="37"/>
      <c r="WGZ224" s="37"/>
      <c r="WHA224" s="38"/>
      <c r="WHB224" s="38"/>
      <c r="WHC224" s="39"/>
      <c r="WHD224" s="34"/>
      <c r="WHE224" s="34"/>
      <c r="WHF224" s="34"/>
      <c r="WHG224" s="35"/>
      <c r="WHH224" s="35"/>
      <c r="WHI224" s="35"/>
      <c r="WHJ224" s="35"/>
      <c r="WHK224" s="35"/>
      <c r="WHL224" s="34"/>
      <c r="WHM224" s="34"/>
      <c r="WHN224" s="36"/>
      <c r="WHO224" s="36"/>
      <c r="WHP224" s="37"/>
      <c r="WHQ224" s="37"/>
      <c r="WHR224" s="38"/>
      <c r="WHS224" s="38"/>
      <c r="WHT224" s="39"/>
      <c r="WHU224" s="34"/>
      <c r="WHV224" s="34"/>
      <c r="WHW224" s="34"/>
      <c r="WHX224" s="35"/>
      <c r="WHY224" s="35"/>
      <c r="WHZ224" s="35"/>
      <c r="WIA224" s="35"/>
      <c r="WIB224" s="35"/>
      <c r="WIC224" s="34"/>
      <c r="WID224" s="34"/>
      <c r="WIE224" s="36"/>
      <c r="WIF224" s="36"/>
      <c r="WIG224" s="37"/>
      <c r="WIH224" s="37"/>
      <c r="WII224" s="38"/>
      <c r="WIJ224" s="38"/>
      <c r="WIK224" s="39"/>
      <c r="WIL224" s="34"/>
      <c r="WIM224" s="34"/>
      <c r="WIN224" s="34"/>
      <c r="WIO224" s="35"/>
      <c r="WIP224" s="35"/>
      <c r="WIQ224" s="35"/>
      <c r="WIR224" s="35"/>
      <c r="WIS224" s="35"/>
      <c r="WIT224" s="34"/>
      <c r="WIU224" s="34"/>
      <c r="WIV224" s="36"/>
      <c r="WIW224" s="36"/>
      <c r="WIX224" s="37"/>
      <c r="WIY224" s="37"/>
      <c r="WIZ224" s="38"/>
      <c r="WJA224" s="38"/>
      <c r="WJB224" s="39"/>
      <c r="WJC224" s="34"/>
      <c r="WJD224" s="34"/>
      <c r="WJE224" s="34"/>
      <c r="WJF224" s="35"/>
      <c r="WJG224" s="35"/>
      <c r="WJH224" s="35"/>
      <c r="WJI224" s="35"/>
      <c r="WJJ224" s="35"/>
      <c r="WJK224" s="34"/>
      <c r="WJL224" s="34"/>
      <c r="WJM224" s="36"/>
      <c r="WJN224" s="36"/>
      <c r="WJO224" s="37"/>
      <c r="WJP224" s="37"/>
      <c r="WJQ224" s="38"/>
      <c r="WJR224" s="38"/>
      <c r="WJS224" s="39"/>
      <c r="WJT224" s="34"/>
      <c r="WJU224" s="34"/>
      <c r="WJV224" s="34"/>
      <c r="WJW224" s="35"/>
      <c r="WJX224" s="35"/>
      <c r="WJY224" s="35"/>
      <c r="WJZ224" s="35"/>
      <c r="WKA224" s="35"/>
      <c r="WKB224" s="34"/>
      <c r="WKC224" s="34"/>
      <c r="WKD224" s="36"/>
      <c r="WKE224" s="36"/>
      <c r="WKF224" s="37"/>
      <c r="WKG224" s="37"/>
      <c r="WKH224" s="38"/>
      <c r="WKI224" s="38"/>
      <c r="WKJ224" s="39"/>
      <c r="WKK224" s="34"/>
      <c r="WKL224" s="34"/>
      <c r="WKM224" s="34"/>
      <c r="WKN224" s="35"/>
      <c r="WKO224" s="35"/>
      <c r="WKP224" s="35"/>
      <c r="WKQ224" s="35"/>
      <c r="WKR224" s="35"/>
      <c r="WKS224" s="34"/>
      <c r="WKT224" s="34"/>
      <c r="WKU224" s="36"/>
      <c r="WKV224" s="36"/>
      <c r="WKW224" s="37"/>
      <c r="WKX224" s="37"/>
      <c r="WKY224" s="38"/>
      <c r="WKZ224" s="38"/>
      <c r="WLA224" s="39"/>
      <c r="WLB224" s="34"/>
      <c r="WLC224" s="34"/>
      <c r="WLD224" s="34"/>
      <c r="WLE224" s="35"/>
      <c r="WLF224" s="35"/>
      <c r="WLG224" s="35"/>
      <c r="WLH224" s="35"/>
      <c r="WLI224" s="35"/>
      <c r="WLJ224" s="34"/>
      <c r="WLK224" s="34"/>
      <c r="WLL224" s="36"/>
      <c r="WLM224" s="36"/>
      <c r="WLN224" s="37"/>
      <c r="WLO224" s="37"/>
      <c r="WLP224" s="38"/>
      <c r="WLQ224" s="38"/>
      <c r="WLR224" s="39"/>
      <c r="WLS224" s="34"/>
      <c r="WLT224" s="34"/>
      <c r="WLU224" s="34"/>
      <c r="WLV224" s="35"/>
      <c r="WLW224" s="35"/>
      <c r="WLX224" s="35"/>
      <c r="WLY224" s="35"/>
      <c r="WLZ224" s="35"/>
      <c r="WMA224" s="34"/>
      <c r="WMB224" s="34"/>
      <c r="WMC224" s="36"/>
      <c r="WMD224" s="36"/>
      <c r="WME224" s="37"/>
      <c r="WMF224" s="37"/>
      <c r="WMG224" s="38"/>
      <c r="WMH224" s="38"/>
      <c r="WMI224" s="39"/>
      <c r="WMJ224" s="34"/>
      <c r="WMK224" s="34"/>
      <c r="WML224" s="34"/>
      <c r="WMM224" s="35"/>
      <c r="WMN224" s="35"/>
      <c r="WMO224" s="35"/>
      <c r="WMP224" s="35"/>
      <c r="WMQ224" s="35"/>
      <c r="WMR224" s="34"/>
      <c r="WMS224" s="34"/>
      <c r="WMT224" s="36"/>
      <c r="WMU224" s="36"/>
      <c r="WMV224" s="37"/>
      <c r="WMW224" s="37"/>
      <c r="WMX224" s="38"/>
      <c r="WMY224" s="38"/>
      <c r="WMZ224" s="39"/>
      <c r="WNA224" s="34"/>
      <c r="WNB224" s="34"/>
      <c r="WNC224" s="34"/>
      <c r="WND224" s="35"/>
      <c r="WNE224" s="35"/>
      <c r="WNF224" s="35"/>
      <c r="WNG224" s="35"/>
      <c r="WNH224" s="35"/>
      <c r="WNI224" s="34"/>
      <c r="WNJ224" s="34"/>
      <c r="WNK224" s="36"/>
      <c r="WNL224" s="36"/>
      <c r="WNM224" s="37"/>
      <c r="WNN224" s="37"/>
      <c r="WNO224" s="38"/>
      <c r="WNP224" s="38"/>
      <c r="WNQ224" s="39"/>
      <c r="WNR224" s="34"/>
      <c r="WNS224" s="34"/>
      <c r="WNT224" s="34"/>
      <c r="WNU224" s="35"/>
      <c r="WNV224" s="35"/>
      <c r="WNW224" s="35"/>
      <c r="WNX224" s="35"/>
      <c r="WNY224" s="35"/>
      <c r="WNZ224" s="34"/>
      <c r="WOA224" s="34"/>
      <c r="WOB224" s="36"/>
      <c r="WOC224" s="36"/>
      <c r="WOD224" s="37"/>
      <c r="WOE224" s="37"/>
      <c r="WOF224" s="38"/>
      <c r="WOG224" s="38"/>
      <c r="WOH224" s="39"/>
      <c r="WOI224" s="34"/>
      <c r="WOJ224" s="34"/>
      <c r="WOK224" s="34"/>
      <c r="WOL224" s="35"/>
      <c r="WOM224" s="35"/>
      <c r="WON224" s="35"/>
      <c r="WOO224" s="35"/>
      <c r="WOP224" s="35"/>
      <c r="WOQ224" s="34"/>
      <c r="WOR224" s="34"/>
      <c r="WOS224" s="36"/>
      <c r="WOT224" s="36"/>
      <c r="WOU224" s="37"/>
      <c r="WOV224" s="37"/>
      <c r="WOW224" s="38"/>
      <c r="WOX224" s="38"/>
      <c r="WOY224" s="39"/>
      <c r="WOZ224" s="34"/>
      <c r="WPA224" s="34"/>
      <c r="WPB224" s="34"/>
      <c r="WPC224" s="35"/>
      <c r="WPD224" s="35"/>
      <c r="WPE224" s="35"/>
      <c r="WPF224" s="35"/>
      <c r="WPG224" s="35"/>
      <c r="WPH224" s="34"/>
      <c r="WPI224" s="34"/>
      <c r="WPJ224" s="36"/>
      <c r="WPK224" s="36"/>
      <c r="WPL224" s="37"/>
      <c r="WPM224" s="37"/>
      <c r="WPN224" s="38"/>
      <c r="WPO224" s="38"/>
      <c r="WPP224" s="39"/>
      <c r="WPQ224" s="34"/>
      <c r="WPR224" s="34"/>
      <c r="WPS224" s="34"/>
      <c r="WPT224" s="35"/>
      <c r="WPU224" s="35"/>
      <c r="WPV224" s="35"/>
      <c r="WPW224" s="35"/>
      <c r="WPX224" s="35"/>
      <c r="WPY224" s="34"/>
      <c r="WPZ224" s="34"/>
      <c r="WQA224" s="36"/>
      <c r="WQB224" s="36"/>
      <c r="WQC224" s="37"/>
      <c r="WQD224" s="37"/>
      <c r="WQE224" s="38"/>
      <c r="WQF224" s="38"/>
      <c r="WQG224" s="39"/>
      <c r="WQH224" s="34"/>
      <c r="WQI224" s="34"/>
      <c r="WQJ224" s="34"/>
      <c r="WQK224" s="35"/>
      <c r="WQL224" s="35"/>
      <c r="WQM224" s="35"/>
      <c r="WQN224" s="35"/>
      <c r="WQO224" s="35"/>
      <c r="WQP224" s="34"/>
      <c r="WQQ224" s="34"/>
      <c r="WQR224" s="36"/>
      <c r="WQS224" s="36"/>
      <c r="WQT224" s="37"/>
      <c r="WQU224" s="37"/>
      <c r="WQV224" s="38"/>
      <c r="WQW224" s="38"/>
      <c r="WQX224" s="39"/>
      <c r="WQY224" s="34"/>
      <c r="WQZ224" s="34"/>
      <c r="WRA224" s="34"/>
      <c r="WRB224" s="35"/>
      <c r="WRC224" s="35"/>
      <c r="WRD224" s="35"/>
      <c r="WRE224" s="35"/>
      <c r="WRF224" s="35"/>
      <c r="WRG224" s="34"/>
      <c r="WRH224" s="34"/>
      <c r="WRI224" s="36"/>
      <c r="WRJ224" s="36"/>
      <c r="WRK224" s="37"/>
      <c r="WRL224" s="37"/>
      <c r="WRM224" s="38"/>
      <c r="WRN224" s="38"/>
      <c r="WRO224" s="39"/>
      <c r="WRP224" s="34"/>
      <c r="WRQ224" s="34"/>
      <c r="WRR224" s="34"/>
      <c r="WRS224" s="35"/>
      <c r="WRT224" s="35"/>
      <c r="WRU224" s="35"/>
      <c r="WRV224" s="35"/>
      <c r="WRW224" s="35"/>
      <c r="WRX224" s="34"/>
      <c r="WRY224" s="34"/>
      <c r="WRZ224" s="36"/>
      <c r="WSA224" s="36"/>
      <c r="WSB224" s="37"/>
      <c r="WSC224" s="37"/>
      <c r="WSD224" s="38"/>
      <c r="WSE224" s="38"/>
      <c r="WSF224" s="39"/>
      <c r="WSG224" s="34"/>
      <c r="WSH224" s="34"/>
      <c r="WSI224" s="34"/>
      <c r="WSJ224" s="35"/>
      <c r="WSK224" s="35"/>
      <c r="WSL224" s="35"/>
      <c r="WSM224" s="35"/>
      <c r="WSN224" s="35"/>
      <c r="WSO224" s="34"/>
      <c r="WSP224" s="34"/>
      <c r="WSQ224" s="36"/>
      <c r="WSR224" s="36"/>
      <c r="WSS224" s="37"/>
      <c r="WST224" s="37"/>
      <c r="WSU224" s="38"/>
      <c r="WSV224" s="38"/>
      <c r="WSW224" s="39"/>
      <c r="WSX224" s="34"/>
      <c r="WSY224" s="34"/>
      <c r="WSZ224" s="34"/>
      <c r="WTA224" s="35"/>
      <c r="WTB224" s="35"/>
      <c r="WTC224" s="35"/>
      <c r="WTD224" s="35"/>
      <c r="WTE224" s="35"/>
      <c r="WTF224" s="34"/>
      <c r="WTG224" s="34"/>
      <c r="WTH224" s="36"/>
      <c r="WTI224" s="36"/>
      <c r="WTJ224" s="37"/>
      <c r="WTK224" s="37"/>
      <c r="WTL224" s="38"/>
      <c r="WTM224" s="38"/>
      <c r="WTN224" s="39"/>
      <c r="WTO224" s="34"/>
      <c r="WTP224" s="34"/>
      <c r="WTQ224" s="34"/>
      <c r="WTR224" s="35"/>
      <c r="WTS224" s="35"/>
      <c r="WTT224" s="35"/>
      <c r="WTU224" s="35"/>
      <c r="WTV224" s="35"/>
      <c r="WTW224" s="34"/>
      <c r="WTX224" s="34"/>
      <c r="WTY224" s="36"/>
      <c r="WTZ224" s="36"/>
      <c r="WUA224" s="37"/>
      <c r="WUB224" s="37"/>
      <c r="WUC224" s="38"/>
      <c r="WUD224" s="38"/>
      <c r="WUE224" s="39"/>
      <c r="WUF224" s="34"/>
      <c r="WUG224" s="34"/>
      <c r="WUH224" s="34"/>
      <c r="WUI224" s="35"/>
      <c r="WUJ224" s="35"/>
      <c r="WUK224" s="35"/>
      <c r="WUL224" s="35"/>
      <c r="WUM224" s="35"/>
      <c r="WUN224" s="34"/>
      <c r="WUO224" s="34"/>
      <c r="WUP224" s="36"/>
      <c r="WUQ224" s="36"/>
      <c r="WUR224" s="37"/>
      <c r="WUS224" s="37"/>
      <c r="WUT224" s="38"/>
      <c r="WUU224" s="38"/>
      <c r="WUV224" s="39"/>
      <c r="WUW224" s="34"/>
      <c r="WUX224" s="34"/>
      <c r="WUY224" s="34"/>
      <c r="WUZ224" s="35"/>
      <c r="WVA224" s="35"/>
      <c r="WVB224" s="35"/>
      <c r="WVC224" s="35"/>
      <c r="WVD224" s="35"/>
      <c r="WVE224" s="34"/>
      <c r="WVF224" s="34"/>
      <c r="WVG224" s="36"/>
      <c r="WVH224" s="36"/>
      <c r="WVI224" s="37"/>
      <c r="WVJ224" s="37"/>
      <c r="WVK224" s="38"/>
      <c r="WVL224" s="38"/>
      <c r="WVM224" s="39"/>
      <c r="WVN224" s="34"/>
      <c r="WVO224" s="34"/>
      <c r="WVP224" s="34"/>
      <c r="WVQ224" s="35"/>
      <c r="WVR224" s="35"/>
      <c r="WVS224" s="35"/>
      <c r="WVT224" s="35"/>
      <c r="WVU224" s="35"/>
      <c r="WVV224" s="34"/>
      <c r="WVW224" s="34"/>
      <c r="WVX224" s="36"/>
      <c r="WVY224" s="36"/>
      <c r="WVZ224" s="37"/>
      <c r="WWA224" s="37"/>
      <c r="WWB224" s="38"/>
      <c r="WWC224" s="38"/>
      <c r="WWD224" s="39"/>
      <c r="WWE224" s="34"/>
      <c r="WWF224" s="34"/>
      <c r="WWG224" s="34"/>
      <c r="WWH224" s="35"/>
      <c r="WWI224" s="35"/>
      <c r="WWJ224" s="35"/>
      <c r="WWK224" s="35"/>
      <c r="WWL224" s="35"/>
      <c r="WWM224" s="34"/>
      <c r="WWN224" s="34"/>
      <c r="WWO224" s="36"/>
      <c r="WWP224" s="36"/>
      <c r="WWQ224" s="37"/>
      <c r="WWR224" s="37"/>
      <c r="WWS224" s="38"/>
      <c r="WWT224" s="38"/>
      <c r="WWU224" s="39"/>
      <c r="WWV224" s="34"/>
      <c r="WWW224" s="34"/>
      <c r="WWX224" s="34"/>
      <c r="WWY224" s="35"/>
      <c r="WWZ224" s="35"/>
      <c r="WXA224" s="35"/>
      <c r="WXB224" s="35"/>
      <c r="WXC224" s="35"/>
      <c r="WXD224" s="34"/>
      <c r="WXE224" s="34"/>
      <c r="WXF224" s="36"/>
      <c r="WXG224" s="36"/>
      <c r="WXH224" s="37"/>
      <c r="WXI224" s="37"/>
      <c r="WXJ224" s="38"/>
      <c r="WXK224" s="38"/>
      <c r="WXL224" s="39"/>
      <c r="WXM224" s="34"/>
      <c r="WXN224" s="34"/>
      <c r="WXO224" s="34"/>
      <c r="WXP224" s="35"/>
      <c r="WXQ224" s="35"/>
      <c r="WXR224" s="35"/>
      <c r="WXS224" s="35"/>
      <c r="WXT224" s="35"/>
      <c r="WXU224" s="34"/>
      <c r="WXV224" s="34"/>
      <c r="WXW224" s="36"/>
      <c r="WXX224" s="36"/>
      <c r="WXY224" s="37"/>
      <c r="WXZ224" s="37"/>
      <c r="WYA224" s="38"/>
      <c r="WYB224" s="38"/>
      <c r="WYC224" s="39"/>
      <c r="WYD224" s="34"/>
      <c r="WYE224" s="34"/>
      <c r="WYF224" s="34"/>
      <c r="WYG224" s="35"/>
      <c r="WYH224" s="35"/>
      <c r="WYI224" s="35"/>
      <c r="WYJ224" s="35"/>
      <c r="WYK224" s="35"/>
      <c r="WYL224" s="34"/>
      <c r="WYM224" s="34"/>
      <c r="WYN224" s="36"/>
      <c r="WYO224" s="36"/>
      <c r="WYP224" s="37"/>
      <c r="WYQ224" s="37"/>
      <c r="WYR224" s="38"/>
      <c r="WYS224" s="38"/>
      <c r="WYT224" s="39"/>
      <c r="WYU224" s="34"/>
      <c r="WYV224" s="34"/>
      <c r="WYW224" s="34"/>
      <c r="WYX224" s="35"/>
      <c r="WYY224" s="35"/>
      <c r="WYZ224" s="35"/>
      <c r="WZA224" s="35"/>
      <c r="WZB224" s="35"/>
      <c r="WZC224" s="34"/>
      <c r="WZD224" s="34"/>
      <c r="WZE224" s="36"/>
      <c r="WZF224" s="36"/>
      <c r="WZG224" s="37"/>
      <c r="WZH224" s="37"/>
      <c r="WZI224" s="38"/>
      <c r="WZJ224" s="38"/>
      <c r="WZK224" s="39"/>
      <c r="WZL224" s="34"/>
      <c r="WZM224" s="34"/>
      <c r="WZN224" s="34"/>
      <c r="WZO224" s="35"/>
      <c r="WZP224" s="35"/>
      <c r="WZQ224" s="35"/>
      <c r="WZR224" s="35"/>
      <c r="WZS224" s="35"/>
      <c r="WZT224" s="34"/>
      <c r="WZU224" s="34"/>
      <c r="WZV224" s="36"/>
      <c r="WZW224" s="36"/>
      <c r="WZX224" s="37"/>
      <c r="WZY224" s="37"/>
      <c r="WZZ224" s="38"/>
      <c r="XAA224" s="38"/>
      <c r="XAB224" s="39"/>
      <c r="XAC224" s="34"/>
      <c r="XAD224" s="34"/>
      <c r="XAE224" s="34"/>
      <c r="XAF224" s="35"/>
      <c r="XAG224" s="35"/>
      <c r="XAH224" s="35"/>
      <c r="XAI224" s="35"/>
      <c r="XAJ224" s="35"/>
      <c r="XAK224" s="34"/>
      <c r="XAL224" s="34"/>
      <c r="XAM224" s="36"/>
      <c r="XAN224" s="36"/>
      <c r="XAO224" s="37"/>
      <c r="XAP224" s="37"/>
      <c r="XAQ224" s="38"/>
      <c r="XAR224" s="38"/>
      <c r="XAS224" s="39"/>
      <c r="XAT224" s="34"/>
      <c r="XAU224" s="34"/>
      <c r="XAV224" s="34"/>
      <c r="XAW224" s="35"/>
      <c r="XAX224" s="35"/>
      <c r="XAY224" s="35"/>
      <c r="XAZ224" s="35"/>
      <c r="XBA224" s="35"/>
      <c r="XBB224" s="34"/>
      <c r="XBC224" s="34"/>
      <c r="XBD224" s="36"/>
      <c r="XBE224" s="36"/>
      <c r="XBF224" s="37"/>
      <c r="XBG224" s="37"/>
      <c r="XBH224" s="38"/>
      <c r="XBI224" s="38"/>
      <c r="XBJ224" s="39"/>
      <c r="XBK224" s="34"/>
      <c r="XBL224" s="34"/>
      <c r="XBM224" s="34"/>
      <c r="XBN224" s="35"/>
      <c r="XBO224" s="35"/>
      <c r="XBP224" s="35"/>
      <c r="XBQ224" s="35"/>
      <c r="XBR224" s="35"/>
      <c r="XBS224" s="34"/>
      <c r="XBT224" s="34"/>
      <c r="XBU224" s="36"/>
      <c r="XBV224" s="36"/>
      <c r="XBW224" s="37"/>
      <c r="XBX224" s="37"/>
      <c r="XBY224" s="38"/>
      <c r="XBZ224" s="38"/>
      <c r="XCA224" s="39"/>
      <c r="XCB224" s="34"/>
      <c r="XCC224" s="34"/>
      <c r="XCD224" s="34"/>
      <c r="XCE224" s="35"/>
      <c r="XCF224" s="35"/>
      <c r="XCG224" s="35"/>
      <c r="XCH224" s="35"/>
      <c r="XCI224" s="35"/>
      <c r="XCJ224" s="34"/>
      <c r="XCK224" s="34"/>
      <c r="XCL224" s="36"/>
      <c r="XCM224" s="36"/>
      <c r="XCN224" s="37"/>
      <c r="XCO224" s="37"/>
      <c r="XCP224" s="38"/>
      <c r="XCQ224" s="38"/>
      <c r="XCR224" s="39"/>
      <c r="XCS224" s="34"/>
      <c r="XCT224" s="34"/>
      <c r="XCU224" s="34"/>
      <c r="XCV224" s="35"/>
      <c r="XCW224" s="35"/>
      <c r="XCX224" s="35"/>
      <c r="XCY224" s="35"/>
      <c r="XCZ224" s="35"/>
      <c r="XDA224" s="34"/>
      <c r="XDB224" s="34"/>
      <c r="XDC224" s="36"/>
      <c r="XDD224" s="36"/>
      <c r="XDE224" s="37"/>
      <c r="XDF224" s="37"/>
      <c r="XDG224" s="38"/>
      <c r="XDH224" s="38"/>
      <c r="XDI224" s="39"/>
      <c r="XDJ224" s="34"/>
      <c r="XDK224" s="34"/>
      <c r="XDL224" s="34"/>
      <c r="XDM224" s="35"/>
      <c r="XDN224" s="35"/>
      <c r="XDO224" s="35"/>
      <c r="XDP224" s="35"/>
      <c r="XDQ224" s="35"/>
      <c r="XDR224" s="34"/>
      <c r="XDS224" s="34"/>
      <c r="XDT224" s="36"/>
      <c r="XDU224" s="36"/>
      <c r="XDV224" s="37"/>
      <c r="XDW224" s="37"/>
      <c r="XDX224" s="38"/>
      <c r="XDY224" s="38"/>
      <c r="XDZ224" s="39"/>
      <c r="XEA224" s="34"/>
      <c r="XEB224" s="34"/>
      <c r="XEC224" s="34"/>
      <c r="XED224" s="35"/>
      <c r="XEE224" s="35"/>
      <c r="XEF224" s="35"/>
      <c r="XEG224" s="35"/>
      <c r="XEH224" s="35"/>
      <c r="XEI224" s="34"/>
      <c r="XEJ224" s="34"/>
      <c r="XEK224" s="36"/>
      <c r="XEL224" s="36"/>
      <c r="XEM224" s="37"/>
      <c r="XEN224" s="37"/>
      <c r="XEO224" s="38"/>
      <c r="XEP224" s="38"/>
      <c r="XEQ224" s="39"/>
      <c r="XER224" s="34"/>
      <c r="XES224" s="34"/>
      <c r="XET224" s="34"/>
      <c r="XEU224" s="35"/>
      <c r="XEV224" s="35"/>
      <c r="XEW224" s="35"/>
      <c r="XEX224" s="35"/>
      <c r="XEY224" s="35"/>
      <c r="XEZ224" s="34"/>
      <c r="XFA224" s="34"/>
      <c r="XFB224" s="36"/>
      <c r="XFC224" s="36"/>
      <c r="XFD224" s="37"/>
    </row>
    <row r="225" spans="1:35" ht="14.25" customHeight="1" x14ac:dyDescent="0.25">
      <c r="A225" s="34">
        <v>0</v>
      </c>
      <c r="B225" s="34">
        <v>1</v>
      </c>
      <c r="C225" s="34">
        <v>6</v>
      </c>
      <c r="D225" s="35" t="s">
        <v>982</v>
      </c>
      <c r="E225" s="35" t="s">
        <v>166</v>
      </c>
      <c r="F225" s="35" t="s">
        <v>980</v>
      </c>
      <c r="G225" s="35" t="s">
        <v>1109</v>
      </c>
      <c r="H225" s="35" t="s">
        <v>355</v>
      </c>
      <c r="I225" s="34" t="s">
        <v>981</v>
      </c>
      <c r="J225" s="34">
        <v>1</v>
      </c>
      <c r="K225" s="36" t="s">
        <v>960</v>
      </c>
      <c r="L225" s="36" t="s">
        <v>693</v>
      </c>
      <c r="M225" s="37" t="s">
        <v>1409</v>
      </c>
      <c r="N225" s="37" t="s">
        <v>1755</v>
      </c>
      <c r="O225" s="38">
        <v>1</v>
      </c>
      <c r="P225" s="38"/>
      <c r="Q225" s="35"/>
      <c r="S225" s="1">
        <f t="shared" si="98"/>
        <v>1</v>
      </c>
      <c r="T225" s="1">
        <f t="shared" si="99"/>
        <v>0</v>
      </c>
      <c r="U225" s="1">
        <f t="shared" si="100"/>
        <v>0</v>
      </c>
      <c r="V225" s="1">
        <f t="shared" si="101"/>
        <v>0</v>
      </c>
      <c r="W225" s="1">
        <f t="shared" si="102"/>
        <v>0</v>
      </c>
      <c r="X225" s="1">
        <f t="shared" si="103"/>
        <v>0</v>
      </c>
      <c r="Y225" s="1">
        <f t="shared" si="104"/>
        <v>0</v>
      </c>
      <c r="Z225" s="1">
        <f t="shared" si="105"/>
        <v>0</v>
      </c>
      <c r="AA225" s="1">
        <f t="shared" si="106"/>
        <v>0</v>
      </c>
      <c r="AB225" s="1">
        <f t="shared" si="107"/>
        <v>0</v>
      </c>
      <c r="AD225" s="1">
        <f t="shared" si="108"/>
        <v>0</v>
      </c>
      <c r="AE225" s="1">
        <f t="shared" si="109"/>
        <v>1</v>
      </c>
      <c r="AF225" s="1">
        <f t="shared" si="94"/>
        <v>0</v>
      </c>
      <c r="AG225" s="1">
        <f t="shared" si="95"/>
        <v>1</v>
      </c>
      <c r="AH225" s="1">
        <f t="shared" si="96"/>
        <v>0</v>
      </c>
      <c r="AI225" s="1">
        <f t="shared" si="97"/>
        <v>1</v>
      </c>
    </row>
    <row r="226" spans="1:35" ht="14.25" customHeight="1" x14ac:dyDescent="0.25">
      <c r="A226" s="47">
        <v>0</v>
      </c>
      <c r="B226" s="47">
        <v>1</v>
      </c>
      <c r="C226" s="47">
        <v>6</v>
      </c>
      <c r="D226" s="48" t="s">
        <v>523</v>
      </c>
      <c r="E226" s="48" t="s">
        <v>168</v>
      </c>
      <c r="F226" s="48" t="s">
        <v>524</v>
      </c>
      <c r="G226" s="48" t="s">
        <v>525</v>
      </c>
      <c r="H226" s="48" t="s">
        <v>355</v>
      </c>
      <c r="I226" s="47" t="s">
        <v>526</v>
      </c>
      <c r="J226" s="47">
        <v>99</v>
      </c>
      <c r="K226" s="49" t="s">
        <v>706</v>
      </c>
      <c r="L226" s="49" t="s">
        <v>698</v>
      </c>
      <c r="M226" s="50" t="s">
        <v>711</v>
      </c>
      <c r="N226" s="50" t="s">
        <v>1816</v>
      </c>
      <c r="O226" s="51"/>
      <c r="P226" s="51"/>
      <c r="Q226" s="48"/>
      <c r="S226" s="1">
        <f t="shared" si="98"/>
        <v>0</v>
      </c>
      <c r="T226" s="1">
        <f t="shared" si="99"/>
        <v>0</v>
      </c>
      <c r="U226" s="1">
        <f t="shared" si="100"/>
        <v>0</v>
      </c>
      <c r="V226" s="1">
        <f t="shared" si="101"/>
        <v>0</v>
      </c>
      <c r="W226" s="1">
        <f t="shared" si="102"/>
        <v>0</v>
      </c>
      <c r="X226" s="1">
        <f t="shared" si="103"/>
        <v>0</v>
      </c>
      <c r="Y226" s="1">
        <f t="shared" si="104"/>
        <v>0</v>
      </c>
      <c r="Z226" s="1">
        <f t="shared" si="105"/>
        <v>0</v>
      </c>
      <c r="AA226" s="1">
        <f t="shared" si="106"/>
        <v>0</v>
      </c>
      <c r="AB226" s="1">
        <f t="shared" si="107"/>
        <v>0</v>
      </c>
      <c r="AD226" s="1">
        <f t="shared" si="108"/>
        <v>0</v>
      </c>
      <c r="AE226" s="1">
        <f t="shared" si="109"/>
        <v>0</v>
      </c>
      <c r="AF226" s="1">
        <f t="shared" si="94"/>
        <v>0</v>
      </c>
      <c r="AG226" s="1">
        <f t="shared" si="95"/>
        <v>0</v>
      </c>
      <c r="AH226" s="1">
        <f t="shared" si="96"/>
        <v>0</v>
      </c>
      <c r="AI226" s="1">
        <f t="shared" si="97"/>
        <v>1</v>
      </c>
    </row>
    <row r="227" spans="1:35" ht="14.25" customHeight="1" x14ac:dyDescent="0.25">
      <c r="A227" s="41">
        <v>0</v>
      </c>
      <c r="B227" s="41">
        <v>1</v>
      </c>
      <c r="C227" s="41">
        <v>6</v>
      </c>
      <c r="D227" s="42" t="s">
        <v>1844</v>
      </c>
      <c r="E227" s="42" t="s">
        <v>1845</v>
      </c>
      <c r="F227" s="42" t="s">
        <v>1846</v>
      </c>
      <c r="G227" s="42"/>
      <c r="H227" s="42" t="s">
        <v>355</v>
      </c>
      <c r="I227" s="41" t="s">
        <v>1847</v>
      </c>
      <c r="J227" s="41"/>
      <c r="K227" s="43" t="s">
        <v>707</v>
      </c>
      <c r="L227" s="43"/>
      <c r="M227" s="44"/>
      <c r="N227" s="45"/>
      <c r="O227" s="46"/>
      <c r="P227" s="46">
        <v>1</v>
      </c>
      <c r="Q227" s="42"/>
      <c r="S227" s="1">
        <f t="shared" si="98"/>
        <v>0</v>
      </c>
      <c r="T227" s="1">
        <f t="shared" si="99"/>
        <v>0</v>
      </c>
      <c r="U227" s="1">
        <f t="shared" si="100"/>
        <v>0</v>
      </c>
      <c r="V227" s="1">
        <f t="shared" si="101"/>
        <v>0</v>
      </c>
      <c r="W227" s="1">
        <f t="shared" si="102"/>
        <v>0</v>
      </c>
      <c r="X227" s="1">
        <f t="shared" si="103"/>
        <v>0</v>
      </c>
      <c r="Y227" s="1">
        <f t="shared" si="104"/>
        <v>0</v>
      </c>
      <c r="Z227" s="1">
        <f t="shared" si="105"/>
        <v>0</v>
      </c>
      <c r="AA227" s="1">
        <f t="shared" si="106"/>
        <v>0</v>
      </c>
      <c r="AB227" s="1">
        <f t="shared" si="107"/>
        <v>0</v>
      </c>
      <c r="AD227" s="1">
        <f t="shared" si="108"/>
        <v>0</v>
      </c>
      <c r="AE227" s="1">
        <f t="shared" si="109"/>
        <v>0</v>
      </c>
      <c r="AF227" s="1">
        <f t="shared" si="94"/>
        <v>0</v>
      </c>
      <c r="AG227" s="1">
        <f t="shared" si="95"/>
        <v>0</v>
      </c>
      <c r="AH227" s="1">
        <f t="shared" si="96"/>
        <v>1</v>
      </c>
      <c r="AI227" s="1">
        <f t="shared" si="97"/>
        <v>0</v>
      </c>
    </row>
    <row r="228" spans="1:35" ht="14.25" customHeight="1" x14ac:dyDescent="0.25">
      <c r="A228" s="47">
        <v>0</v>
      </c>
      <c r="B228" s="47">
        <v>1</v>
      </c>
      <c r="C228" s="47">
        <v>6</v>
      </c>
      <c r="D228" s="48" t="s">
        <v>1487</v>
      </c>
      <c r="E228" s="48" t="s">
        <v>168</v>
      </c>
      <c r="F228" s="48" t="s">
        <v>1489</v>
      </c>
      <c r="G228" s="48" t="s">
        <v>1490</v>
      </c>
      <c r="H228" s="48" t="s">
        <v>355</v>
      </c>
      <c r="I228" s="47" t="s">
        <v>1488</v>
      </c>
      <c r="J228" s="47">
        <v>99</v>
      </c>
      <c r="K228" s="49" t="s">
        <v>707</v>
      </c>
      <c r="L228" s="49">
        <v>62</v>
      </c>
      <c r="M228" s="50"/>
      <c r="N228" s="50" t="s">
        <v>1741</v>
      </c>
      <c r="O228" s="51"/>
      <c r="P228" s="51"/>
      <c r="Q228" s="48"/>
      <c r="S228" s="1">
        <f t="shared" si="98"/>
        <v>0</v>
      </c>
      <c r="T228" s="1">
        <f t="shared" si="99"/>
        <v>0</v>
      </c>
      <c r="U228" s="1">
        <f t="shared" si="100"/>
        <v>0</v>
      </c>
      <c r="V228" s="1">
        <f t="shared" si="101"/>
        <v>0</v>
      </c>
      <c r="W228" s="1">
        <f t="shared" si="102"/>
        <v>0</v>
      </c>
      <c r="X228" s="1">
        <f t="shared" si="103"/>
        <v>0</v>
      </c>
      <c r="Y228" s="1">
        <f t="shared" si="104"/>
        <v>0</v>
      </c>
      <c r="Z228" s="1">
        <f t="shared" si="105"/>
        <v>0</v>
      </c>
      <c r="AA228" s="1">
        <f t="shared" si="106"/>
        <v>0</v>
      </c>
      <c r="AB228" s="1">
        <f t="shared" si="107"/>
        <v>0</v>
      </c>
      <c r="AD228" s="1">
        <f t="shared" si="108"/>
        <v>0</v>
      </c>
      <c r="AE228" s="1">
        <f t="shared" si="109"/>
        <v>0</v>
      </c>
      <c r="AF228" s="1">
        <f t="shared" si="94"/>
        <v>0</v>
      </c>
      <c r="AG228" s="1">
        <f t="shared" si="95"/>
        <v>0</v>
      </c>
      <c r="AH228" s="1">
        <f t="shared" si="96"/>
        <v>0</v>
      </c>
      <c r="AI228" s="1">
        <f t="shared" si="97"/>
        <v>1</v>
      </c>
    </row>
    <row r="229" spans="1:35" ht="14.25" customHeight="1" x14ac:dyDescent="0.25">
      <c r="A229" s="34">
        <v>0</v>
      </c>
      <c r="B229" s="34">
        <v>1</v>
      </c>
      <c r="C229" s="34">
        <v>6</v>
      </c>
      <c r="D229" s="35" t="s">
        <v>1203</v>
      </c>
      <c r="E229" s="35" t="s">
        <v>166</v>
      </c>
      <c r="F229" s="35" t="s">
        <v>1677</v>
      </c>
      <c r="G229" s="35" t="s">
        <v>214</v>
      </c>
      <c r="H229" s="35" t="s">
        <v>355</v>
      </c>
      <c r="I229" s="34" t="s">
        <v>1204</v>
      </c>
      <c r="J229" s="34">
        <v>1</v>
      </c>
      <c r="K229" s="36" t="s">
        <v>966</v>
      </c>
      <c r="L229" s="36" t="s">
        <v>690</v>
      </c>
      <c r="M229" s="37" t="s">
        <v>1579</v>
      </c>
      <c r="N229" s="37" t="s">
        <v>1762</v>
      </c>
      <c r="O229" s="38">
        <v>1</v>
      </c>
      <c r="P229" s="38"/>
      <c r="Q229" s="35"/>
      <c r="S229" s="1">
        <f t="shared" si="98"/>
        <v>1</v>
      </c>
      <c r="T229" s="1">
        <f t="shared" si="99"/>
        <v>0</v>
      </c>
      <c r="U229" s="1">
        <f t="shared" si="100"/>
        <v>0</v>
      </c>
      <c r="V229" s="1">
        <f t="shared" si="101"/>
        <v>0</v>
      </c>
      <c r="W229" s="1">
        <f t="shared" si="102"/>
        <v>0</v>
      </c>
      <c r="X229" s="1">
        <f t="shared" si="103"/>
        <v>0</v>
      </c>
      <c r="Y229" s="1">
        <f t="shared" si="104"/>
        <v>0</v>
      </c>
      <c r="Z229" s="1">
        <f t="shared" si="105"/>
        <v>0</v>
      </c>
      <c r="AA229" s="1">
        <f t="shared" si="106"/>
        <v>0</v>
      </c>
      <c r="AB229" s="1">
        <f t="shared" si="107"/>
        <v>0</v>
      </c>
      <c r="AD229" s="1">
        <f t="shared" si="108"/>
        <v>0</v>
      </c>
      <c r="AE229" s="1">
        <f t="shared" si="109"/>
        <v>1</v>
      </c>
      <c r="AF229" s="1">
        <f t="shared" si="94"/>
        <v>0</v>
      </c>
      <c r="AG229" s="1">
        <f t="shared" si="95"/>
        <v>1</v>
      </c>
      <c r="AH229" s="1">
        <f t="shared" si="96"/>
        <v>0</v>
      </c>
      <c r="AI229" s="1">
        <f t="shared" si="97"/>
        <v>1</v>
      </c>
    </row>
    <row r="230" spans="1:35" ht="14.25" customHeight="1" x14ac:dyDescent="0.25">
      <c r="A230" s="34">
        <v>0</v>
      </c>
      <c r="B230" s="34">
        <v>1</v>
      </c>
      <c r="C230" s="34">
        <v>6</v>
      </c>
      <c r="D230" s="35" t="s">
        <v>98</v>
      </c>
      <c r="E230" s="35" t="s">
        <v>168</v>
      </c>
      <c r="F230" s="35" t="s">
        <v>297</v>
      </c>
      <c r="G230" s="35" t="s">
        <v>286</v>
      </c>
      <c r="H230" s="35" t="s">
        <v>355</v>
      </c>
      <c r="I230" s="34" t="s">
        <v>1122</v>
      </c>
      <c r="J230" s="34">
        <v>10</v>
      </c>
      <c r="K230" s="36" t="s">
        <v>960</v>
      </c>
      <c r="L230" s="36" t="s">
        <v>698</v>
      </c>
      <c r="M230" s="37" t="s">
        <v>709</v>
      </c>
      <c r="N230" s="37" t="s">
        <v>1756</v>
      </c>
      <c r="O230" s="38">
        <v>1</v>
      </c>
      <c r="P230" s="38"/>
      <c r="Q230" s="35"/>
      <c r="S230" s="1">
        <f t="shared" si="98"/>
        <v>0</v>
      </c>
      <c r="T230" s="1">
        <f t="shared" si="99"/>
        <v>0</v>
      </c>
      <c r="U230" s="1">
        <f t="shared" si="100"/>
        <v>0</v>
      </c>
      <c r="V230" s="1">
        <f t="shared" si="101"/>
        <v>0</v>
      </c>
      <c r="W230" s="1">
        <f t="shared" si="102"/>
        <v>0</v>
      </c>
      <c r="X230" s="1">
        <f t="shared" si="103"/>
        <v>0</v>
      </c>
      <c r="Y230" s="1">
        <f t="shared" si="104"/>
        <v>0</v>
      </c>
      <c r="Z230" s="1">
        <f t="shared" si="105"/>
        <v>0</v>
      </c>
      <c r="AA230" s="1">
        <f t="shared" si="106"/>
        <v>0</v>
      </c>
      <c r="AB230" s="1">
        <f t="shared" si="107"/>
        <v>1</v>
      </c>
      <c r="AD230" s="1">
        <f t="shared" si="108"/>
        <v>0</v>
      </c>
      <c r="AE230" s="1">
        <f t="shared" si="109"/>
        <v>1</v>
      </c>
      <c r="AF230" s="1">
        <f t="shared" si="94"/>
        <v>0</v>
      </c>
      <c r="AG230" s="1">
        <f t="shared" si="95"/>
        <v>1</v>
      </c>
      <c r="AH230" s="1">
        <f t="shared" si="96"/>
        <v>0</v>
      </c>
      <c r="AI230" s="1">
        <f t="shared" si="97"/>
        <v>1</v>
      </c>
    </row>
    <row r="231" spans="1:35" ht="14.25" customHeight="1" x14ac:dyDescent="0.25">
      <c r="A231" s="34">
        <v>0</v>
      </c>
      <c r="B231" s="34">
        <v>1</v>
      </c>
      <c r="C231" s="34">
        <v>6</v>
      </c>
      <c r="D231" s="35" t="s">
        <v>605</v>
      </c>
      <c r="E231" s="35" t="s">
        <v>166</v>
      </c>
      <c r="F231" s="35" t="s">
        <v>607</v>
      </c>
      <c r="G231" s="35" t="s">
        <v>39</v>
      </c>
      <c r="H231" s="35" t="s">
        <v>355</v>
      </c>
      <c r="I231" s="34" t="s">
        <v>606</v>
      </c>
      <c r="J231" s="34">
        <v>99</v>
      </c>
      <c r="K231" s="36" t="s">
        <v>960</v>
      </c>
      <c r="L231" s="36" t="s">
        <v>697</v>
      </c>
      <c r="M231" s="37" t="s">
        <v>974</v>
      </c>
      <c r="N231" s="37" t="s">
        <v>1756</v>
      </c>
      <c r="O231" s="38">
        <v>1</v>
      </c>
      <c r="P231" s="38"/>
      <c r="Q231" s="35"/>
      <c r="S231" s="1">
        <f t="shared" si="98"/>
        <v>0</v>
      </c>
      <c r="T231" s="1">
        <f t="shared" si="99"/>
        <v>0</v>
      </c>
      <c r="U231" s="1">
        <f t="shared" si="100"/>
        <v>0</v>
      </c>
      <c r="V231" s="1">
        <f t="shared" si="101"/>
        <v>0</v>
      </c>
      <c r="W231" s="1">
        <f t="shared" si="102"/>
        <v>0</v>
      </c>
      <c r="X231" s="1">
        <f t="shared" si="103"/>
        <v>0</v>
      </c>
      <c r="Y231" s="1">
        <f t="shared" si="104"/>
        <v>0</v>
      </c>
      <c r="Z231" s="1">
        <f t="shared" si="105"/>
        <v>0</v>
      </c>
      <c r="AA231" s="1">
        <f t="shared" si="106"/>
        <v>0</v>
      </c>
      <c r="AB231" s="1">
        <f t="shared" si="107"/>
        <v>0</v>
      </c>
      <c r="AD231" s="1">
        <f t="shared" si="108"/>
        <v>0</v>
      </c>
      <c r="AE231" s="1">
        <f t="shared" si="109"/>
        <v>1</v>
      </c>
      <c r="AF231" s="1">
        <f t="shared" si="94"/>
        <v>0</v>
      </c>
      <c r="AG231" s="1">
        <f t="shared" si="95"/>
        <v>1</v>
      </c>
      <c r="AH231" s="1">
        <f t="shared" si="96"/>
        <v>0</v>
      </c>
      <c r="AI231" s="1">
        <f t="shared" si="97"/>
        <v>1</v>
      </c>
    </row>
    <row r="232" spans="1:35" ht="14.25" customHeight="1" x14ac:dyDescent="0.25">
      <c r="A232" s="34">
        <v>0</v>
      </c>
      <c r="B232" s="34">
        <v>1</v>
      </c>
      <c r="C232" s="34">
        <v>6</v>
      </c>
      <c r="D232" s="35" t="s">
        <v>1168</v>
      </c>
      <c r="E232" s="35" t="s">
        <v>166</v>
      </c>
      <c r="F232" s="35" t="s">
        <v>1170</v>
      </c>
      <c r="G232" s="35" t="s">
        <v>221</v>
      </c>
      <c r="H232" s="35" t="s">
        <v>355</v>
      </c>
      <c r="I232" s="34" t="s">
        <v>1169</v>
      </c>
      <c r="J232" s="34">
        <v>8</v>
      </c>
      <c r="K232" s="36" t="s">
        <v>706</v>
      </c>
      <c r="L232" s="36" t="s">
        <v>1720</v>
      </c>
      <c r="M232" s="37" t="s">
        <v>1410</v>
      </c>
      <c r="N232" s="37" t="s">
        <v>1755</v>
      </c>
      <c r="O232" s="38">
        <v>1</v>
      </c>
      <c r="P232" s="38"/>
      <c r="Q232" s="35"/>
      <c r="S232" s="1">
        <f t="shared" si="98"/>
        <v>0</v>
      </c>
      <c r="T232" s="1">
        <f t="shared" si="99"/>
        <v>0</v>
      </c>
      <c r="U232" s="1">
        <f t="shared" si="100"/>
        <v>0</v>
      </c>
      <c r="V232" s="1">
        <f t="shared" si="101"/>
        <v>0</v>
      </c>
      <c r="W232" s="1">
        <f t="shared" si="102"/>
        <v>0</v>
      </c>
      <c r="X232" s="1">
        <f t="shared" si="103"/>
        <v>0</v>
      </c>
      <c r="Y232" s="1">
        <f t="shared" si="104"/>
        <v>0</v>
      </c>
      <c r="Z232" s="1">
        <f t="shared" si="105"/>
        <v>1</v>
      </c>
      <c r="AA232" s="1">
        <f t="shared" si="106"/>
        <v>0</v>
      </c>
      <c r="AB232" s="1">
        <f t="shared" si="107"/>
        <v>0</v>
      </c>
      <c r="AD232" s="1">
        <f t="shared" si="108"/>
        <v>0</v>
      </c>
      <c r="AE232" s="1">
        <f t="shared" si="109"/>
        <v>1</v>
      </c>
      <c r="AF232" s="1">
        <f t="shared" si="94"/>
        <v>0</v>
      </c>
      <c r="AG232" s="1">
        <f t="shared" si="95"/>
        <v>1</v>
      </c>
      <c r="AH232" s="1">
        <f t="shared" si="96"/>
        <v>0</v>
      </c>
      <c r="AI232" s="1">
        <f t="shared" si="97"/>
        <v>1</v>
      </c>
    </row>
    <row r="233" spans="1:35" ht="14.25" customHeight="1" x14ac:dyDescent="0.25">
      <c r="A233" s="34">
        <v>0</v>
      </c>
      <c r="B233" s="34">
        <v>1</v>
      </c>
      <c r="C233" s="34">
        <v>6</v>
      </c>
      <c r="D233" s="35" t="s">
        <v>566</v>
      </c>
      <c r="E233" s="35" t="s">
        <v>168</v>
      </c>
      <c r="F233" s="35" t="s">
        <v>664</v>
      </c>
      <c r="G233" s="35" t="s">
        <v>203</v>
      </c>
      <c r="H233" s="35" t="s">
        <v>355</v>
      </c>
      <c r="I233" s="34" t="s">
        <v>585</v>
      </c>
      <c r="J233" s="34">
        <v>10</v>
      </c>
      <c r="K233" s="36" t="s">
        <v>966</v>
      </c>
      <c r="L233" s="36" t="s">
        <v>697</v>
      </c>
      <c r="M233" s="37" t="s">
        <v>709</v>
      </c>
      <c r="N233" s="37" t="s">
        <v>1755</v>
      </c>
      <c r="O233" s="38">
        <v>1</v>
      </c>
      <c r="P233" s="38"/>
      <c r="Q233" s="39"/>
      <c r="S233" s="1">
        <f t="shared" si="98"/>
        <v>0</v>
      </c>
      <c r="T233" s="1">
        <f t="shared" si="99"/>
        <v>0</v>
      </c>
      <c r="U233" s="1">
        <f t="shared" si="100"/>
        <v>0</v>
      </c>
      <c r="V233" s="1">
        <f t="shared" si="101"/>
        <v>0</v>
      </c>
      <c r="W233" s="1">
        <f t="shared" si="102"/>
        <v>0</v>
      </c>
      <c r="X233" s="1">
        <f t="shared" si="103"/>
        <v>0</v>
      </c>
      <c r="Y233" s="1">
        <f t="shared" si="104"/>
        <v>0</v>
      </c>
      <c r="Z233" s="1">
        <f t="shared" si="105"/>
        <v>0</v>
      </c>
      <c r="AA233" s="1">
        <f t="shared" si="106"/>
        <v>0</v>
      </c>
      <c r="AB233" s="1">
        <f t="shared" si="107"/>
        <v>1</v>
      </c>
      <c r="AD233" s="1">
        <f t="shared" si="108"/>
        <v>0</v>
      </c>
      <c r="AE233" s="1">
        <f t="shared" si="109"/>
        <v>1</v>
      </c>
      <c r="AF233" s="1">
        <f t="shared" si="94"/>
        <v>0</v>
      </c>
      <c r="AG233" s="1">
        <f t="shared" si="95"/>
        <v>1</v>
      </c>
      <c r="AH233" s="1">
        <f t="shared" si="96"/>
        <v>0</v>
      </c>
      <c r="AI233" s="1">
        <f t="shared" si="97"/>
        <v>1</v>
      </c>
    </row>
    <row r="234" spans="1:35" ht="14.25" customHeight="1" x14ac:dyDescent="0.25">
      <c r="A234" s="47">
        <v>0</v>
      </c>
      <c r="B234" s="47">
        <v>1</v>
      </c>
      <c r="C234" s="47">
        <v>6</v>
      </c>
      <c r="D234" s="48" t="s">
        <v>901</v>
      </c>
      <c r="E234" s="48" t="s">
        <v>168</v>
      </c>
      <c r="F234" s="48" t="s">
        <v>942</v>
      </c>
      <c r="G234" s="48" t="s">
        <v>943</v>
      </c>
      <c r="H234" s="48" t="s">
        <v>355</v>
      </c>
      <c r="I234" s="47" t="s">
        <v>957</v>
      </c>
      <c r="J234" s="47">
        <v>99</v>
      </c>
      <c r="K234" s="49" t="s">
        <v>706</v>
      </c>
      <c r="L234" s="49" t="s">
        <v>693</v>
      </c>
      <c r="M234" s="50" t="s">
        <v>1411</v>
      </c>
      <c r="N234" s="50" t="s">
        <v>1745</v>
      </c>
      <c r="O234" s="51"/>
      <c r="P234" s="51"/>
      <c r="Q234" s="48"/>
      <c r="S234" s="1">
        <f t="shared" si="98"/>
        <v>0</v>
      </c>
      <c r="T234" s="1">
        <f t="shared" si="99"/>
        <v>0</v>
      </c>
      <c r="U234" s="1">
        <f t="shared" si="100"/>
        <v>0</v>
      </c>
      <c r="V234" s="1">
        <f t="shared" si="101"/>
        <v>0</v>
      </c>
      <c r="W234" s="1">
        <f t="shared" si="102"/>
        <v>0</v>
      </c>
      <c r="X234" s="1">
        <f t="shared" si="103"/>
        <v>0</v>
      </c>
      <c r="Y234" s="1">
        <f t="shared" si="104"/>
        <v>0</v>
      </c>
      <c r="Z234" s="1">
        <f t="shared" si="105"/>
        <v>0</v>
      </c>
      <c r="AA234" s="1">
        <f t="shared" si="106"/>
        <v>0</v>
      </c>
      <c r="AB234" s="1">
        <f t="shared" si="107"/>
        <v>0</v>
      </c>
      <c r="AD234" s="1">
        <f t="shared" si="108"/>
        <v>0</v>
      </c>
      <c r="AE234" s="1">
        <f t="shared" si="109"/>
        <v>0</v>
      </c>
      <c r="AF234" s="1">
        <f t="shared" si="94"/>
        <v>0</v>
      </c>
      <c r="AG234" s="1">
        <f t="shared" si="95"/>
        <v>0</v>
      </c>
      <c r="AH234" s="1">
        <f t="shared" si="96"/>
        <v>0</v>
      </c>
      <c r="AI234" s="1">
        <f t="shared" si="97"/>
        <v>1</v>
      </c>
    </row>
    <row r="235" spans="1:35" ht="14.25" customHeight="1" x14ac:dyDescent="0.25">
      <c r="A235" s="34">
        <v>0</v>
      </c>
      <c r="B235" s="34">
        <v>1</v>
      </c>
      <c r="C235" s="34">
        <v>6</v>
      </c>
      <c r="D235" s="35" t="s">
        <v>100</v>
      </c>
      <c r="E235" s="35" t="s">
        <v>168</v>
      </c>
      <c r="F235" s="35" t="s">
        <v>665</v>
      </c>
      <c r="G235" s="35" t="s">
        <v>667</v>
      </c>
      <c r="H235" s="35" t="s">
        <v>355</v>
      </c>
      <c r="I235" s="34" t="s">
        <v>448</v>
      </c>
      <c r="J235" s="34">
        <v>99</v>
      </c>
      <c r="K235" s="36" t="s">
        <v>726</v>
      </c>
      <c r="L235" s="36" t="s">
        <v>700</v>
      </c>
      <c r="M235" s="37" t="s">
        <v>711</v>
      </c>
      <c r="N235" s="37" t="s">
        <v>1756</v>
      </c>
      <c r="O235" s="38">
        <v>1</v>
      </c>
      <c r="P235" s="38"/>
      <c r="Q235" s="35"/>
      <c r="S235" s="1">
        <f t="shared" si="98"/>
        <v>0</v>
      </c>
      <c r="T235" s="1">
        <f t="shared" si="99"/>
        <v>0</v>
      </c>
      <c r="U235" s="1">
        <f t="shared" si="100"/>
        <v>0</v>
      </c>
      <c r="V235" s="1">
        <f t="shared" si="101"/>
        <v>0</v>
      </c>
      <c r="W235" s="1">
        <f t="shared" si="102"/>
        <v>0</v>
      </c>
      <c r="X235" s="1">
        <f t="shared" si="103"/>
        <v>0</v>
      </c>
      <c r="Y235" s="1">
        <f t="shared" si="104"/>
        <v>0</v>
      </c>
      <c r="Z235" s="1">
        <f t="shared" si="105"/>
        <v>0</v>
      </c>
      <c r="AA235" s="1">
        <f t="shared" si="106"/>
        <v>0</v>
      </c>
      <c r="AB235" s="1">
        <f t="shared" si="107"/>
        <v>0</v>
      </c>
      <c r="AD235" s="1">
        <f t="shared" si="108"/>
        <v>0</v>
      </c>
      <c r="AE235" s="1">
        <f t="shared" si="109"/>
        <v>1</v>
      </c>
      <c r="AF235" s="1">
        <f t="shared" si="94"/>
        <v>0</v>
      </c>
      <c r="AG235" s="1">
        <f t="shared" si="95"/>
        <v>1</v>
      </c>
      <c r="AH235" s="1">
        <f t="shared" si="96"/>
        <v>0</v>
      </c>
      <c r="AI235" s="1">
        <f t="shared" si="97"/>
        <v>1</v>
      </c>
    </row>
    <row r="236" spans="1:35" ht="14.25" customHeight="1" x14ac:dyDescent="0.25">
      <c r="A236" s="41">
        <v>0</v>
      </c>
      <c r="B236" s="41">
        <v>1</v>
      </c>
      <c r="C236" s="41">
        <v>7</v>
      </c>
      <c r="D236" s="42" t="s">
        <v>86</v>
      </c>
      <c r="E236" s="42" t="s">
        <v>29</v>
      </c>
      <c r="F236" s="42" t="s">
        <v>666</v>
      </c>
      <c r="G236" s="42" t="s">
        <v>667</v>
      </c>
      <c r="H236" s="42" t="s">
        <v>355</v>
      </c>
      <c r="I236" s="41" t="s">
        <v>633</v>
      </c>
      <c r="J236" s="41">
        <v>99</v>
      </c>
      <c r="K236" s="43" t="s">
        <v>958</v>
      </c>
      <c r="L236" s="43" t="s">
        <v>697</v>
      </c>
      <c r="M236" s="44" t="s">
        <v>1412</v>
      </c>
      <c r="N236" s="45"/>
      <c r="O236" s="46"/>
      <c r="P236" s="46">
        <v>1</v>
      </c>
      <c r="Q236" s="42"/>
      <c r="S236" s="1">
        <f t="shared" si="98"/>
        <v>0</v>
      </c>
      <c r="T236" s="1">
        <f t="shared" si="99"/>
        <v>0</v>
      </c>
      <c r="U236" s="1">
        <f t="shared" si="100"/>
        <v>0</v>
      </c>
      <c r="V236" s="1">
        <f t="shared" si="101"/>
        <v>0</v>
      </c>
      <c r="W236" s="1">
        <f t="shared" si="102"/>
        <v>0</v>
      </c>
      <c r="X236" s="1">
        <f t="shared" si="103"/>
        <v>0</v>
      </c>
      <c r="Y236" s="1">
        <f t="shared" si="104"/>
        <v>0</v>
      </c>
      <c r="Z236" s="1">
        <f t="shared" si="105"/>
        <v>0</v>
      </c>
      <c r="AA236" s="1">
        <f t="shared" si="106"/>
        <v>0</v>
      </c>
      <c r="AB236" s="1">
        <f t="shared" si="107"/>
        <v>0</v>
      </c>
      <c r="AD236" s="1">
        <f t="shared" si="108"/>
        <v>0</v>
      </c>
      <c r="AE236" s="1">
        <f t="shared" si="109"/>
        <v>0</v>
      </c>
      <c r="AF236" s="1">
        <f t="shared" si="94"/>
        <v>0</v>
      </c>
      <c r="AG236" s="1">
        <f t="shared" si="95"/>
        <v>0</v>
      </c>
      <c r="AH236" s="1">
        <f t="shared" si="96"/>
        <v>1</v>
      </c>
      <c r="AI236" s="1">
        <f t="shared" si="97"/>
        <v>0</v>
      </c>
    </row>
    <row r="237" spans="1:35" ht="14.25" customHeight="1" x14ac:dyDescent="0.25">
      <c r="A237" s="47">
        <v>0</v>
      </c>
      <c r="B237" s="47">
        <v>1</v>
      </c>
      <c r="C237" s="47">
        <v>7</v>
      </c>
      <c r="D237" s="48" t="s">
        <v>652</v>
      </c>
      <c r="E237" s="48" t="s">
        <v>29</v>
      </c>
      <c r="F237" s="48" t="s">
        <v>628</v>
      </c>
      <c r="G237" s="48" t="s">
        <v>233</v>
      </c>
      <c r="H237" s="48" t="s">
        <v>355</v>
      </c>
      <c r="I237" s="47" t="s">
        <v>629</v>
      </c>
      <c r="J237" s="47">
        <v>99</v>
      </c>
      <c r="K237" s="49" t="s">
        <v>717</v>
      </c>
      <c r="L237" s="49" t="s">
        <v>700</v>
      </c>
      <c r="M237" s="50" t="s">
        <v>977</v>
      </c>
      <c r="N237" s="50" t="s">
        <v>1816</v>
      </c>
      <c r="O237" s="51"/>
      <c r="P237" s="51"/>
      <c r="Q237" s="48"/>
      <c r="S237" s="1">
        <f t="shared" si="98"/>
        <v>0</v>
      </c>
      <c r="T237" s="1">
        <f t="shared" si="99"/>
        <v>0</v>
      </c>
      <c r="U237" s="1">
        <f t="shared" si="100"/>
        <v>0</v>
      </c>
      <c r="V237" s="1">
        <f t="shared" si="101"/>
        <v>0</v>
      </c>
      <c r="W237" s="1">
        <f t="shared" si="102"/>
        <v>0</v>
      </c>
      <c r="X237" s="1">
        <f t="shared" si="103"/>
        <v>0</v>
      </c>
      <c r="Y237" s="1">
        <f t="shared" si="104"/>
        <v>0</v>
      </c>
      <c r="Z237" s="1">
        <f t="shared" si="105"/>
        <v>0</v>
      </c>
      <c r="AA237" s="1">
        <f t="shared" si="106"/>
        <v>0</v>
      </c>
      <c r="AB237" s="1">
        <f t="shared" si="107"/>
        <v>0</v>
      </c>
      <c r="AD237" s="1">
        <f t="shared" si="108"/>
        <v>0</v>
      </c>
      <c r="AE237" s="1">
        <f t="shared" si="109"/>
        <v>0</v>
      </c>
      <c r="AF237" s="1">
        <f t="shared" si="94"/>
        <v>0</v>
      </c>
      <c r="AG237" s="1">
        <f t="shared" si="95"/>
        <v>0</v>
      </c>
      <c r="AH237" s="1">
        <f t="shared" si="96"/>
        <v>0</v>
      </c>
      <c r="AI237" s="1">
        <f t="shared" si="97"/>
        <v>1</v>
      </c>
    </row>
    <row r="238" spans="1:35" ht="14.25" customHeight="1" x14ac:dyDescent="0.25">
      <c r="A238" s="15">
        <v>0</v>
      </c>
      <c r="B238" s="15">
        <v>1</v>
      </c>
      <c r="C238" s="15">
        <v>7</v>
      </c>
      <c r="D238" s="16" t="s">
        <v>987</v>
      </c>
      <c r="E238" s="16" t="s">
        <v>29</v>
      </c>
      <c r="F238" s="16" t="s">
        <v>988</v>
      </c>
      <c r="G238" s="16" t="s">
        <v>989</v>
      </c>
      <c r="H238" s="16" t="s">
        <v>355</v>
      </c>
      <c r="I238" s="15" t="s">
        <v>986</v>
      </c>
      <c r="J238" s="15">
        <v>99</v>
      </c>
      <c r="K238" s="10" t="s">
        <v>707</v>
      </c>
      <c r="L238" s="10">
        <v>20</v>
      </c>
      <c r="M238" s="19" t="s">
        <v>977</v>
      </c>
      <c r="N238" s="19"/>
      <c r="Q238" s="16"/>
      <c r="S238" s="1">
        <f t="shared" si="98"/>
        <v>0</v>
      </c>
      <c r="T238" s="1">
        <f t="shared" si="99"/>
        <v>0</v>
      </c>
      <c r="U238" s="1">
        <f t="shared" si="100"/>
        <v>0</v>
      </c>
      <c r="V238" s="1">
        <f t="shared" si="101"/>
        <v>0</v>
      </c>
      <c r="W238" s="1">
        <f t="shared" si="102"/>
        <v>0</v>
      </c>
      <c r="X238" s="1">
        <f t="shared" si="103"/>
        <v>0</v>
      </c>
      <c r="Y238" s="1">
        <f t="shared" si="104"/>
        <v>0</v>
      </c>
      <c r="Z238" s="1">
        <f t="shared" si="105"/>
        <v>0</v>
      </c>
      <c r="AA238" s="1">
        <f t="shared" si="106"/>
        <v>0</v>
      </c>
      <c r="AB238" s="1">
        <f t="shared" si="107"/>
        <v>0</v>
      </c>
      <c r="AD238" s="1">
        <f t="shared" si="108"/>
        <v>0</v>
      </c>
      <c r="AE238" s="1">
        <f t="shared" si="109"/>
        <v>0</v>
      </c>
      <c r="AF238" s="1">
        <f t="shared" si="94"/>
        <v>0</v>
      </c>
      <c r="AG238" s="1">
        <f t="shared" si="95"/>
        <v>0</v>
      </c>
      <c r="AH238" s="1">
        <f t="shared" si="96"/>
        <v>0</v>
      </c>
      <c r="AI238" s="1">
        <f t="shared" si="97"/>
        <v>1</v>
      </c>
    </row>
    <row r="239" spans="1:35" ht="14.25" customHeight="1" x14ac:dyDescent="0.25">
      <c r="A239" s="41">
        <v>0</v>
      </c>
      <c r="B239" s="41">
        <v>1</v>
      </c>
      <c r="C239" s="41">
        <v>7</v>
      </c>
      <c r="D239" s="42" t="s">
        <v>593</v>
      </c>
      <c r="E239" s="42" t="s">
        <v>29</v>
      </c>
      <c r="F239" s="42" t="s">
        <v>594</v>
      </c>
      <c r="G239" s="42" t="s">
        <v>1077</v>
      </c>
      <c r="H239" s="42" t="s">
        <v>355</v>
      </c>
      <c r="I239" s="41" t="s">
        <v>595</v>
      </c>
      <c r="J239" s="41">
        <v>99</v>
      </c>
      <c r="K239" s="43" t="s">
        <v>707</v>
      </c>
      <c r="L239" s="43">
        <v>35</v>
      </c>
      <c r="M239" s="44" t="s">
        <v>1412</v>
      </c>
      <c r="N239" s="44"/>
      <c r="O239" s="46"/>
      <c r="P239" s="46">
        <v>1</v>
      </c>
      <c r="Q239" s="42"/>
      <c r="S239" s="1">
        <f t="shared" si="98"/>
        <v>0</v>
      </c>
      <c r="T239" s="1">
        <f t="shared" si="99"/>
        <v>0</v>
      </c>
      <c r="U239" s="1">
        <f t="shared" si="100"/>
        <v>0</v>
      </c>
      <c r="V239" s="1">
        <f t="shared" si="101"/>
        <v>0</v>
      </c>
      <c r="W239" s="1">
        <f t="shared" si="102"/>
        <v>0</v>
      </c>
      <c r="X239" s="1">
        <f t="shared" si="103"/>
        <v>0</v>
      </c>
      <c r="Y239" s="1">
        <f t="shared" si="104"/>
        <v>0</v>
      </c>
      <c r="Z239" s="1">
        <f t="shared" si="105"/>
        <v>0</v>
      </c>
      <c r="AA239" s="1">
        <f t="shared" si="106"/>
        <v>0</v>
      </c>
      <c r="AB239" s="1">
        <f t="shared" si="107"/>
        <v>0</v>
      </c>
      <c r="AD239" s="1">
        <f t="shared" si="108"/>
        <v>0</v>
      </c>
      <c r="AE239" s="1">
        <f t="shared" si="109"/>
        <v>0</v>
      </c>
      <c r="AF239" s="1">
        <f t="shared" si="94"/>
        <v>0</v>
      </c>
      <c r="AG239" s="1">
        <f t="shared" si="95"/>
        <v>0</v>
      </c>
      <c r="AH239" s="1">
        <f t="shared" si="96"/>
        <v>1</v>
      </c>
      <c r="AI239" s="1">
        <f t="shared" si="97"/>
        <v>0</v>
      </c>
    </row>
    <row r="240" spans="1:35" ht="14.25" customHeight="1" x14ac:dyDescent="0.25">
      <c r="A240" s="41">
        <v>0</v>
      </c>
      <c r="B240" s="41">
        <v>1</v>
      </c>
      <c r="C240" s="41">
        <v>7</v>
      </c>
      <c r="D240" s="42" t="s">
        <v>1634</v>
      </c>
      <c r="E240" s="42" t="s">
        <v>29</v>
      </c>
      <c r="F240" s="42" t="s">
        <v>1689</v>
      </c>
      <c r="G240" s="42" t="s">
        <v>313</v>
      </c>
      <c r="H240" s="42" t="s">
        <v>355</v>
      </c>
      <c r="I240" s="41" t="s">
        <v>1635</v>
      </c>
      <c r="J240" s="41"/>
      <c r="K240" s="43" t="s">
        <v>717</v>
      </c>
      <c r="L240" s="43">
        <v>45</v>
      </c>
      <c r="M240" s="44" t="s">
        <v>1807</v>
      </c>
      <c r="N240" s="45"/>
      <c r="O240" s="46"/>
      <c r="P240" s="46">
        <v>1</v>
      </c>
      <c r="Q240" s="42"/>
      <c r="S240" s="1">
        <f t="shared" si="98"/>
        <v>0</v>
      </c>
      <c r="T240" s="1">
        <f t="shared" si="99"/>
        <v>0</v>
      </c>
      <c r="U240" s="1">
        <f t="shared" si="100"/>
        <v>0</v>
      </c>
      <c r="V240" s="1">
        <f t="shared" si="101"/>
        <v>0</v>
      </c>
      <c r="W240" s="1">
        <f t="shared" si="102"/>
        <v>0</v>
      </c>
      <c r="X240" s="1">
        <f t="shared" si="103"/>
        <v>0</v>
      </c>
      <c r="Y240" s="1">
        <f t="shared" si="104"/>
        <v>0</v>
      </c>
      <c r="Z240" s="1">
        <f t="shared" si="105"/>
        <v>0</v>
      </c>
      <c r="AA240" s="1">
        <f t="shared" si="106"/>
        <v>0</v>
      </c>
      <c r="AB240" s="1">
        <f t="shared" si="107"/>
        <v>0</v>
      </c>
      <c r="AD240" s="1">
        <f t="shared" si="108"/>
        <v>0</v>
      </c>
      <c r="AE240" s="1">
        <f t="shared" si="109"/>
        <v>0</v>
      </c>
      <c r="AF240" s="1">
        <f t="shared" si="94"/>
        <v>0</v>
      </c>
      <c r="AG240" s="1">
        <f t="shared" si="95"/>
        <v>0</v>
      </c>
      <c r="AH240" s="1">
        <f t="shared" si="96"/>
        <v>1</v>
      </c>
      <c r="AI240" s="1">
        <f t="shared" si="97"/>
        <v>0</v>
      </c>
    </row>
    <row r="241" spans="1:35" ht="14.25" customHeight="1" x14ac:dyDescent="0.25">
      <c r="A241" s="34">
        <v>0</v>
      </c>
      <c r="B241" s="34">
        <v>1</v>
      </c>
      <c r="C241" s="34">
        <v>7</v>
      </c>
      <c r="D241" s="35" t="s">
        <v>863</v>
      </c>
      <c r="E241" s="35" t="s">
        <v>29</v>
      </c>
      <c r="F241" s="35" t="s">
        <v>864</v>
      </c>
      <c r="G241" s="35" t="s">
        <v>203</v>
      </c>
      <c r="H241" s="35" t="s">
        <v>355</v>
      </c>
      <c r="I241" s="34" t="s">
        <v>865</v>
      </c>
      <c r="J241" s="34">
        <v>10</v>
      </c>
      <c r="K241" s="36" t="s">
        <v>717</v>
      </c>
      <c r="L241" s="36" t="s">
        <v>697</v>
      </c>
      <c r="M241" s="37" t="s">
        <v>1412</v>
      </c>
      <c r="N241" s="37" t="s">
        <v>1762</v>
      </c>
      <c r="O241" s="38">
        <v>1</v>
      </c>
      <c r="P241" s="38"/>
      <c r="Q241" s="35"/>
      <c r="S241" s="1">
        <f t="shared" si="98"/>
        <v>0</v>
      </c>
      <c r="T241" s="1">
        <f t="shared" si="99"/>
        <v>0</v>
      </c>
      <c r="U241" s="1">
        <f t="shared" si="100"/>
        <v>0</v>
      </c>
      <c r="V241" s="1">
        <f t="shared" si="101"/>
        <v>0</v>
      </c>
      <c r="W241" s="1">
        <f t="shared" si="102"/>
        <v>0</v>
      </c>
      <c r="X241" s="1">
        <f t="shared" si="103"/>
        <v>0</v>
      </c>
      <c r="Y241" s="1">
        <f t="shared" si="104"/>
        <v>0</v>
      </c>
      <c r="Z241" s="1">
        <f t="shared" si="105"/>
        <v>0</v>
      </c>
      <c r="AA241" s="1">
        <f t="shared" si="106"/>
        <v>0</v>
      </c>
      <c r="AB241" s="1">
        <f t="shared" si="107"/>
        <v>1</v>
      </c>
      <c r="AD241" s="1">
        <f t="shared" si="108"/>
        <v>0</v>
      </c>
      <c r="AE241" s="1">
        <f t="shared" si="109"/>
        <v>1</v>
      </c>
      <c r="AF241" s="1">
        <f t="shared" si="94"/>
        <v>0</v>
      </c>
      <c r="AG241" s="1">
        <f t="shared" si="95"/>
        <v>1</v>
      </c>
      <c r="AH241" s="1">
        <f t="shared" si="96"/>
        <v>0</v>
      </c>
      <c r="AI241" s="1">
        <f t="shared" si="97"/>
        <v>1</v>
      </c>
    </row>
    <row r="242" spans="1:35" ht="14.25" customHeight="1" x14ac:dyDescent="0.25">
      <c r="A242" s="41">
        <v>0</v>
      </c>
      <c r="B242" s="41">
        <v>1</v>
      </c>
      <c r="C242" s="41">
        <v>7</v>
      </c>
      <c r="D242" s="42" t="s">
        <v>40</v>
      </c>
      <c r="E242" s="42" t="s">
        <v>29</v>
      </c>
      <c r="F242" s="42" t="s">
        <v>281</v>
      </c>
      <c r="G242" s="42" t="s">
        <v>231</v>
      </c>
      <c r="H242" s="42" t="s">
        <v>355</v>
      </c>
      <c r="I242" s="41" t="s">
        <v>436</v>
      </c>
      <c r="J242" s="41">
        <v>7</v>
      </c>
      <c r="K242" s="43" t="s">
        <v>717</v>
      </c>
      <c r="L242" s="43" t="s">
        <v>700</v>
      </c>
      <c r="M242" s="44" t="s">
        <v>977</v>
      </c>
      <c r="N242" s="45"/>
      <c r="O242" s="46"/>
      <c r="P242" s="46">
        <v>1</v>
      </c>
      <c r="Q242" s="42"/>
      <c r="S242" s="1">
        <f t="shared" si="98"/>
        <v>0</v>
      </c>
      <c r="T242" s="1">
        <f t="shared" si="99"/>
        <v>0</v>
      </c>
      <c r="U242" s="1">
        <f t="shared" si="100"/>
        <v>0</v>
      </c>
      <c r="V242" s="1">
        <f t="shared" si="101"/>
        <v>0</v>
      </c>
      <c r="W242" s="1">
        <f t="shared" si="102"/>
        <v>0</v>
      </c>
      <c r="X242" s="1">
        <f t="shared" si="103"/>
        <v>0</v>
      </c>
      <c r="Y242" s="1">
        <f t="shared" si="104"/>
        <v>1</v>
      </c>
      <c r="Z242" s="1">
        <f t="shared" si="105"/>
        <v>0</v>
      </c>
      <c r="AA242" s="1">
        <f t="shared" si="106"/>
        <v>0</v>
      </c>
      <c r="AB242" s="1">
        <f t="shared" si="107"/>
        <v>0</v>
      </c>
      <c r="AD242" s="1">
        <f t="shared" si="108"/>
        <v>0</v>
      </c>
      <c r="AE242" s="1">
        <f t="shared" si="109"/>
        <v>0</v>
      </c>
      <c r="AF242" s="1">
        <f t="shared" si="94"/>
        <v>0</v>
      </c>
      <c r="AG242" s="1">
        <f t="shared" si="95"/>
        <v>0</v>
      </c>
      <c r="AH242" s="1">
        <f t="shared" si="96"/>
        <v>1</v>
      </c>
      <c r="AI242" s="1">
        <f t="shared" si="97"/>
        <v>0</v>
      </c>
    </row>
    <row r="243" spans="1:35" ht="14.25" customHeight="1" x14ac:dyDescent="0.25">
      <c r="A243" s="41">
        <v>1</v>
      </c>
      <c r="B243" s="41">
        <v>1</v>
      </c>
      <c r="C243" s="41">
        <v>7</v>
      </c>
      <c r="D243" s="42" t="s">
        <v>40</v>
      </c>
      <c r="E243" s="42" t="s">
        <v>29</v>
      </c>
      <c r="F243" s="42" t="s">
        <v>1608</v>
      </c>
      <c r="G243" s="42" t="s">
        <v>39</v>
      </c>
      <c r="H243" s="42" t="s">
        <v>355</v>
      </c>
      <c r="I243" s="41" t="s">
        <v>1609</v>
      </c>
      <c r="J243" s="41">
        <v>99</v>
      </c>
      <c r="K243" s="43" t="s">
        <v>717</v>
      </c>
      <c r="L243" s="43" t="s">
        <v>700</v>
      </c>
      <c r="M243" s="44" t="s">
        <v>977</v>
      </c>
      <c r="N243" s="45"/>
      <c r="O243" s="46"/>
      <c r="P243" s="46">
        <v>1</v>
      </c>
      <c r="Q243" s="42"/>
      <c r="S243" s="1">
        <f t="shared" si="98"/>
        <v>0</v>
      </c>
      <c r="T243" s="1">
        <f t="shared" si="99"/>
        <v>0</v>
      </c>
      <c r="U243" s="1">
        <f t="shared" si="100"/>
        <v>0</v>
      </c>
      <c r="V243" s="1">
        <f t="shared" si="101"/>
        <v>0</v>
      </c>
      <c r="W243" s="1">
        <f t="shared" si="102"/>
        <v>0</v>
      </c>
      <c r="X243" s="1">
        <f t="shared" si="103"/>
        <v>0</v>
      </c>
      <c r="Y243" s="1">
        <f t="shared" si="104"/>
        <v>0</v>
      </c>
      <c r="Z243" s="1">
        <f t="shared" si="105"/>
        <v>0</v>
      </c>
      <c r="AA243" s="1">
        <f t="shared" si="106"/>
        <v>0</v>
      </c>
      <c r="AB243" s="1">
        <f t="shared" si="107"/>
        <v>0</v>
      </c>
      <c r="AD243" s="1">
        <f t="shared" si="108"/>
        <v>0</v>
      </c>
      <c r="AE243" s="1">
        <f t="shared" si="109"/>
        <v>0</v>
      </c>
      <c r="AF243" s="1">
        <f t="shared" si="94"/>
        <v>0</v>
      </c>
      <c r="AG243" s="1">
        <f t="shared" si="95"/>
        <v>0</v>
      </c>
      <c r="AH243" s="1">
        <f t="shared" si="96"/>
        <v>0</v>
      </c>
      <c r="AI243" s="1">
        <f t="shared" si="97"/>
        <v>0</v>
      </c>
    </row>
    <row r="244" spans="1:35" ht="14.25" customHeight="1" x14ac:dyDescent="0.25">
      <c r="A244" s="52">
        <v>0</v>
      </c>
      <c r="B244" s="52">
        <v>1</v>
      </c>
      <c r="C244" s="52">
        <v>7</v>
      </c>
      <c r="D244" s="58" t="s">
        <v>1491</v>
      </c>
      <c r="E244" s="53" t="s">
        <v>29</v>
      </c>
      <c r="F244" s="58" t="s">
        <v>1008</v>
      </c>
      <c r="G244" s="58" t="s">
        <v>1106</v>
      </c>
      <c r="H244" s="58" t="s">
        <v>355</v>
      </c>
      <c r="I244" s="66" t="s">
        <v>1114</v>
      </c>
      <c r="J244" s="52">
        <v>10</v>
      </c>
      <c r="K244" s="54" t="s">
        <v>717</v>
      </c>
      <c r="L244" s="54" t="s">
        <v>698</v>
      </c>
      <c r="M244" s="55" t="s">
        <v>977</v>
      </c>
      <c r="N244" s="55" t="s">
        <v>1750</v>
      </c>
      <c r="O244" s="56">
        <v>1</v>
      </c>
      <c r="P244" s="56"/>
      <c r="Q244" s="58"/>
      <c r="S244" s="1">
        <f t="shared" si="98"/>
        <v>0</v>
      </c>
      <c r="T244" s="1">
        <f t="shared" si="99"/>
        <v>0</v>
      </c>
      <c r="U244" s="1">
        <f t="shared" si="100"/>
        <v>0</v>
      </c>
      <c r="V244" s="1">
        <f t="shared" si="101"/>
        <v>0</v>
      </c>
      <c r="W244" s="1">
        <f t="shared" si="102"/>
        <v>0</v>
      </c>
      <c r="X244" s="1">
        <f t="shared" si="103"/>
        <v>0</v>
      </c>
      <c r="Y244" s="1">
        <f t="shared" si="104"/>
        <v>0</v>
      </c>
      <c r="Z244" s="1">
        <f t="shared" si="105"/>
        <v>0</v>
      </c>
      <c r="AA244" s="1">
        <f t="shared" si="106"/>
        <v>0</v>
      </c>
      <c r="AB244" s="1">
        <f t="shared" si="107"/>
        <v>1</v>
      </c>
      <c r="AD244" s="1">
        <f t="shared" si="108"/>
        <v>0</v>
      </c>
      <c r="AE244" s="1">
        <f t="shared" si="109"/>
        <v>1</v>
      </c>
      <c r="AF244" s="1">
        <f t="shared" si="94"/>
        <v>0</v>
      </c>
      <c r="AG244" s="1">
        <f t="shared" si="95"/>
        <v>1</v>
      </c>
      <c r="AH244" s="1">
        <f t="shared" si="96"/>
        <v>0</v>
      </c>
      <c r="AI244" s="1">
        <f t="shared" si="97"/>
        <v>1</v>
      </c>
    </row>
    <row r="245" spans="1:35" ht="14.25" customHeight="1" x14ac:dyDescent="0.25">
      <c r="A245" s="34">
        <v>0</v>
      </c>
      <c r="B245" s="34">
        <v>1</v>
      </c>
      <c r="C245" s="34">
        <v>7</v>
      </c>
      <c r="D245" s="39" t="s">
        <v>1492</v>
      </c>
      <c r="E245" s="35" t="s">
        <v>29</v>
      </c>
      <c r="F245" s="39" t="s">
        <v>1006</v>
      </c>
      <c r="G245" s="39" t="s">
        <v>241</v>
      </c>
      <c r="H245" s="39" t="s">
        <v>355</v>
      </c>
      <c r="I245" s="40" t="s">
        <v>1007</v>
      </c>
      <c r="J245" s="34">
        <v>1</v>
      </c>
      <c r="K245" s="36" t="s">
        <v>965</v>
      </c>
      <c r="L245" s="36" t="s">
        <v>698</v>
      </c>
      <c r="M245" s="37" t="s">
        <v>977</v>
      </c>
      <c r="N245" s="37" t="s">
        <v>1808</v>
      </c>
      <c r="O245" s="38">
        <v>1</v>
      </c>
      <c r="P245" s="38"/>
      <c r="Q245" s="39"/>
      <c r="S245" s="1">
        <f t="shared" si="98"/>
        <v>1</v>
      </c>
      <c r="T245" s="1">
        <f t="shared" si="99"/>
        <v>0</v>
      </c>
      <c r="U245" s="1">
        <f t="shared" si="100"/>
        <v>0</v>
      </c>
      <c r="V245" s="1">
        <f t="shared" si="101"/>
        <v>0</v>
      </c>
      <c r="W245" s="1">
        <f t="shared" si="102"/>
        <v>0</v>
      </c>
      <c r="X245" s="1">
        <f t="shared" si="103"/>
        <v>0</v>
      </c>
      <c r="Y245" s="1">
        <f t="shared" si="104"/>
        <v>0</v>
      </c>
      <c r="Z245" s="1">
        <f t="shared" si="105"/>
        <v>0</v>
      </c>
      <c r="AA245" s="1">
        <f t="shared" si="106"/>
        <v>0</v>
      </c>
      <c r="AB245" s="1">
        <f t="shared" si="107"/>
        <v>0</v>
      </c>
      <c r="AD245" s="1">
        <f t="shared" si="108"/>
        <v>0</v>
      </c>
      <c r="AE245" s="1">
        <f t="shared" si="109"/>
        <v>1</v>
      </c>
      <c r="AF245" s="1">
        <f t="shared" si="94"/>
        <v>0</v>
      </c>
      <c r="AG245" s="1">
        <f t="shared" si="95"/>
        <v>1</v>
      </c>
      <c r="AH245" s="1">
        <f t="shared" si="96"/>
        <v>0</v>
      </c>
      <c r="AI245" s="1">
        <f t="shared" si="97"/>
        <v>1</v>
      </c>
    </row>
    <row r="246" spans="1:35" ht="14.25" customHeight="1" x14ac:dyDescent="0.25">
      <c r="A246" s="47">
        <v>0</v>
      </c>
      <c r="B246" s="47">
        <v>1</v>
      </c>
      <c r="C246" s="47">
        <v>7</v>
      </c>
      <c r="D246" s="48" t="s">
        <v>902</v>
      </c>
      <c r="E246" s="48" t="s">
        <v>29</v>
      </c>
      <c r="F246" s="48" t="s">
        <v>903</v>
      </c>
      <c r="G246" s="48" t="s">
        <v>39</v>
      </c>
      <c r="H246" s="48" t="s">
        <v>356</v>
      </c>
      <c r="I246" s="47" t="s">
        <v>904</v>
      </c>
      <c r="J246" s="47">
        <v>11</v>
      </c>
      <c r="K246" s="49" t="s">
        <v>707</v>
      </c>
      <c r="L246" s="49">
        <v>35</v>
      </c>
      <c r="M246" s="50" t="s">
        <v>1412</v>
      </c>
      <c r="N246" s="50" t="s">
        <v>1754</v>
      </c>
      <c r="O246" s="51"/>
      <c r="P246" s="51"/>
      <c r="Q246" s="68" t="s">
        <v>1910</v>
      </c>
      <c r="S246" s="1">
        <f t="shared" si="98"/>
        <v>0</v>
      </c>
      <c r="T246" s="1">
        <f t="shared" si="99"/>
        <v>0</v>
      </c>
      <c r="U246" s="1">
        <f t="shared" si="100"/>
        <v>0</v>
      </c>
      <c r="V246" s="1">
        <f t="shared" si="101"/>
        <v>0</v>
      </c>
      <c r="W246" s="1">
        <f t="shared" si="102"/>
        <v>0</v>
      </c>
      <c r="X246" s="1">
        <f t="shared" si="103"/>
        <v>0</v>
      </c>
      <c r="Y246" s="1">
        <f t="shared" si="104"/>
        <v>0</v>
      </c>
      <c r="Z246" s="1">
        <f t="shared" si="105"/>
        <v>0</v>
      </c>
      <c r="AA246" s="1">
        <f t="shared" si="106"/>
        <v>0</v>
      </c>
      <c r="AB246" s="1">
        <f t="shared" si="107"/>
        <v>0</v>
      </c>
      <c r="AD246" s="1">
        <f t="shared" si="108"/>
        <v>0</v>
      </c>
      <c r="AE246" s="1">
        <f t="shared" si="109"/>
        <v>0</v>
      </c>
      <c r="AF246" s="1">
        <f t="shared" si="94"/>
        <v>0</v>
      </c>
      <c r="AG246" s="1">
        <f t="shared" si="95"/>
        <v>0</v>
      </c>
      <c r="AH246" s="1">
        <f t="shared" si="96"/>
        <v>0</v>
      </c>
      <c r="AI246" s="1">
        <f t="shared" si="97"/>
        <v>1</v>
      </c>
    </row>
    <row r="247" spans="1:35" ht="14.25" customHeight="1" x14ac:dyDescent="0.25">
      <c r="A247" s="34">
        <v>0</v>
      </c>
      <c r="B247" s="34">
        <v>1</v>
      </c>
      <c r="C247" s="34">
        <v>7</v>
      </c>
      <c r="D247" s="39" t="s">
        <v>1088</v>
      </c>
      <c r="E247" s="35" t="s">
        <v>29</v>
      </c>
      <c r="F247" s="39" t="s">
        <v>990</v>
      </c>
      <c r="G247" s="39" t="s">
        <v>204</v>
      </c>
      <c r="H247" s="39" t="s">
        <v>355</v>
      </c>
      <c r="I247" s="40" t="s">
        <v>991</v>
      </c>
      <c r="J247" s="34">
        <v>99</v>
      </c>
      <c r="K247" s="36" t="s">
        <v>717</v>
      </c>
      <c r="L247" s="36" t="s">
        <v>698</v>
      </c>
      <c r="M247" s="37" t="s">
        <v>1449</v>
      </c>
      <c r="N247" s="37" t="s">
        <v>1734</v>
      </c>
      <c r="O247" s="38">
        <v>1</v>
      </c>
      <c r="P247" s="38">
        <v>1</v>
      </c>
      <c r="Q247" s="39"/>
      <c r="S247" s="1">
        <f t="shared" si="98"/>
        <v>0</v>
      </c>
      <c r="T247" s="1">
        <f t="shared" si="99"/>
        <v>0</v>
      </c>
      <c r="U247" s="1">
        <f t="shared" si="100"/>
        <v>0</v>
      </c>
      <c r="V247" s="1">
        <f t="shared" si="101"/>
        <v>0</v>
      </c>
      <c r="W247" s="1">
        <f t="shared" si="102"/>
        <v>0</v>
      </c>
      <c r="X247" s="1">
        <f t="shared" si="103"/>
        <v>0</v>
      </c>
      <c r="Y247" s="1">
        <f t="shared" si="104"/>
        <v>0</v>
      </c>
      <c r="Z247" s="1">
        <f t="shared" si="105"/>
        <v>0</v>
      </c>
      <c r="AA247" s="1">
        <f t="shared" si="106"/>
        <v>0</v>
      </c>
      <c r="AB247" s="1">
        <f t="shared" si="107"/>
        <v>0</v>
      </c>
      <c r="AD247" s="1">
        <f t="shared" si="108"/>
        <v>1</v>
      </c>
      <c r="AE247" s="1">
        <f t="shared" si="109"/>
        <v>0</v>
      </c>
      <c r="AF247" s="1">
        <f t="shared" si="94"/>
        <v>1</v>
      </c>
      <c r="AG247" s="1">
        <f t="shared" si="95"/>
        <v>0</v>
      </c>
      <c r="AH247" s="1">
        <f t="shared" si="96"/>
        <v>1</v>
      </c>
      <c r="AI247" s="1">
        <f t="shared" si="97"/>
        <v>0</v>
      </c>
    </row>
    <row r="248" spans="1:35" ht="14.25" customHeight="1" x14ac:dyDescent="0.25">
      <c r="A248" s="15">
        <v>0</v>
      </c>
      <c r="B248" s="15">
        <v>1</v>
      </c>
      <c r="C248" s="15">
        <v>7</v>
      </c>
      <c r="D248" s="16" t="s">
        <v>755</v>
      </c>
      <c r="E248" s="16" t="s">
        <v>29</v>
      </c>
      <c r="F248" s="16" t="s">
        <v>756</v>
      </c>
      <c r="G248" s="16" t="s">
        <v>757</v>
      </c>
      <c r="H248" s="16" t="s">
        <v>355</v>
      </c>
      <c r="I248" s="15" t="s">
        <v>758</v>
      </c>
      <c r="J248" s="15">
        <v>99</v>
      </c>
      <c r="K248" s="10" t="s">
        <v>707</v>
      </c>
      <c r="L248" s="10">
        <v>20</v>
      </c>
      <c r="M248" s="19" t="s">
        <v>1124</v>
      </c>
      <c r="N248" s="17"/>
      <c r="Q248" s="16"/>
      <c r="S248" s="1">
        <f t="shared" si="98"/>
        <v>0</v>
      </c>
      <c r="T248" s="1">
        <f t="shared" si="99"/>
        <v>0</v>
      </c>
      <c r="U248" s="1">
        <f t="shared" si="100"/>
        <v>0</v>
      </c>
      <c r="V248" s="1">
        <f t="shared" si="101"/>
        <v>0</v>
      </c>
      <c r="W248" s="1">
        <f t="shared" si="102"/>
        <v>0</v>
      </c>
      <c r="X248" s="1">
        <f t="shared" si="103"/>
        <v>0</v>
      </c>
      <c r="Y248" s="1">
        <f t="shared" si="104"/>
        <v>0</v>
      </c>
      <c r="Z248" s="1">
        <f t="shared" si="105"/>
        <v>0</v>
      </c>
      <c r="AA248" s="1">
        <f t="shared" si="106"/>
        <v>0</v>
      </c>
      <c r="AB248" s="1">
        <f t="shared" si="107"/>
        <v>0</v>
      </c>
      <c r="AD248" s="1">
        <f t="shared" si="108"/>
        <v>0</v>
      </c>
      <c r="AE248" s="1">
        <f t="shared" si="109"/>
        <v>0</v>
      </c>
      <c r="AF248" s="1">
        <f t="shared" si="94"/>
        <v>0</v>
      </c>
      <c r="AG248" s="1">
        <f t="shared" si="95"/>
        <v>0</v>
      </c>
      <c r="AH248" s="1">
        <f t="shared" si="96"/>
        <v>0</v>
      </c>
      <c r="AI248" s="1">
        <f t="shared" si="97"/>
        <v>1</v>
      </c>
    </row>
    <row r="249" spans="1:35" ht="14.25" customHeight="1" x14ac:dyDescent="0.25">
      <c r="A249" s="34">
        <v>0</v>
      </c>
      <c r="B249" s="34">
        <v>1</v>
      </c>
      <c r="C249" s="34">
        <v>7</v>
      </c>
      <c r="D249" s="39" t="s">
        <v>832</v>
      </c>
      <c r="E249" s="35" t="s">
        <v>29</v>
      </c>
      <c r="F249" s="39" t="s">
        <v>833</v>
      </c>
      <c r="G249" s="39" t="s">
        <v>932</v>
      </c>
      <c r="H249" s="39" t="s">
        <v>355</v>
      </c>
      <c r="I249" s="40" t="s">
        <v>834</v>
      </c>
      <c r="J249" s="34">
        <v>99</v>
      </c>
      <c r="K249" s="36" t="s">
        <v>959</v>
      </c>
      <c r="L249" s="36" t="s">
        <v>698</v>
      </c>
      <c r="M249" s="37" t="s">
        <v>977</v>
      </c>
      <c r="N249" s="37" t="s">
        <v>1832</v>
      </c>
      <c r="O249" s="38">
        <v>1</v>
      </c>
      <c r="P249" s="38"/>
      <c r="Q249" s="39"/>
      <c r="S249" s="1">
        <f t="shared" si="98"/>
        <v>0</v>
      </c>
      <c r="T249" s="1">
        <f t="shared" si="99"/>
        <v>0</v>
      </c>
      <c r="U249" s="1">
        <f t="shared" si="100"/>
        <v>0</v>
      </c>
      <c r="V249" s="1">
        <f t="shared" si="101"/>
        <v>0</v>
      </c>
      <c r="W249" s="1">
        <f t="shared" si="102"/>
        <v>0</v>
      </c>
      <c r="X249" s="1">
        <f t="shared" si="103"/>
        <v>0</v>
      </c>
      <c r="Y249" s="1">
        <f t="shared" si="104"/>
        <v>0</v>
      </c>
      <c r="Z249" s="1">
        <f t="shared" si="105"/>
        <v>0</v>
      </c>
      <c r="AA249" s="1">
        <f t="shared" si="106"/>
        <v>0</v>
      </c>
      <c r="AB249" s="1">
        <f t="shared" si="107"/>
        <v>0</v>
      </c>
      <c r="AD249" s="1">
        <f t="shared" si="108"/>
        <v>0</v>
      </c>
      <c r="AE249" s="1">
        <f t="shared" si="109"/>
        <v>1</v>
      </c>
      <c r="AF249" s="1">
        <f t="shared" si="94"/>
        <v>0</v>
      </c>
      <c r="AG249" s="1">
        <f t="shared" si="95"/>
        <v>1</v>
      </c>
      <c r="AH249" s="1">
        <f t="shared" si="96"/>
        <v>0</v>
      </c>
      <c r="AI249" s="1">
        <f t="shared" si="97"/>
        <v>1</v>
      </c>
    </row>
    <row r="250" spans="1:35" ht="14.25" customHeight="1" x14ac:dyDescent="0.25">
      <c r="A250" s="34">
        <v>0</v>
      </c>
      <c r="B250" s="34">
        <v>1</v>
      </c>
      <c r="C250" s="34">
        <v>7</v>
      </c>
      <c r="D250" s="39" t="s">
        <v>1727</v>
      </c>
      <c r="E250" s="35" t="s">
        <v>29</v>
      </c>
      <c r="F250" s="39" t="s">
        <v>1728</v>
      </c>
      <c r="G250" s="39" t="s">
        <v>250</v>
      </c>
      <c r="H250" s="39" t="s">
        <v>355</v>
      </c>
      <c r="I250" s="40" t="s">
        <v>1729</v>
      </c>
      <c r="J250" s="34"/>
      <c r="K250" s="36" t="s">
        <v>707</v>
      </c>
      <c r="L250" s="36"/>
      <c r="M250" s="37"/>
      <c r="N250" s="37" t="s">
        <v>1734</v>
      </c>
      <c r="O250" s="38">
        <v>1</v>
      </c>
      <c r="P250" s="38">
        <v>1</v>
      </c>
      <c r="Q250" s="39"/>
      <c r="S250" s="1">
        <f t="shared" si="98"/>
        <v>0</v>
      </c>
      <c r="T250" s="1">
        <f t="shared" si="99"/>
        <v>0</v>
      </c>
      <c r="U250" s="1">
        <f t="shared" si="100"/>
        <v>0</v>
      </c>
      <c r="V250" s="1">
        <f t="shared" si="101"/>
        <v>0</v>
      </c>
      <c r="W250" s="1">
        <f t="shared" si="102"/>
        <v>0</v>
      </c>
      <c r="X250" s="1">
        <f t="shared" si="103"/>
        <v>0</v>
      </c>
      <c r="Y250" s="1">
        <f t="shared" si="104"/>
        <v>0</v>
      </c>
      <c r="Z250" s="1">
        <f t="shared" si="105"/>
        <v>0</v>
      </c>
      <c r="AA250" s="1">
        <f t="shared" si="106"/>
        <v>0</v>
      </c>
      <c r="AB250" s="1">
        <f t="shared" si="107"/>
        <v>0</v>
      </c>
      <c r="AD250" s="1">
        <f t="shared" si="108"/>
        <v>1</v>
      </c>
      <c r="AE250" s="1">
        <f t="shared" si="109"/>
        <v>0</v>
      </c>
      <c r="AF250" s="1">
        <f t="shared" si="94"/>
        <v>1</v>
      </c>
      <c r="AG250" s="1">
        <f t="shared" si="95"/>
        <v>0</v>
      </c>
      <c r="AH250" s="1">
        <f t="shared" si="96"/>
        <v>1</v>
      </c>
      <c r="AI250" s="1">
        <f t="shared" si="97"/>
        <v>0</v>
      </c>
    </row>
    <row r="251" spans="1:35" ht="14.25" customHeight="1" x14ac:dyDescent="0.25">
      <c r="A251" s="34">
        <v>0</v>
      </c>
      <c r="B251" s="34">
        <v>1</v>
      </c>
      <c r="C251" s="34">
        <v>7</v>
      </c>
      <c r="D251" s="35" t="s">
        <v>905</v>
      </c>
      <c r="E251" s="35" t="s">
        <v>29</v>
      </c>
      <c r="F251" s="35" t="s">
        <v>906</v>
      </c>
      <c r="G251" s="35" t="s">
        <v>229</v>
      </c>
      <c r="H251" s="35" t="s">
        <v>355</v>
      </c>
      <c r="I251" s="34" t="s">
        <v>907</v>
      </c>
      <c r="J251" s="34">
        <v>99</v>
      </c>
      <c r="K251" s="36" t="s">
        <v>717</v>
      </c>
      <c r="L251" s="36" t="s">
        <v>698</v>
      </c>
      <c r="M251" s="37" t="s">
        <v>1413</v>
      </c>
      <c r="N251" s="37" t="s">
        <v>1755</v>
      </c>
      <c r="O251" s="38">
        <v>1</v>
      </c>
      <c r="P251" s="38"/>
      <c r="Q251" s="35"/>
      <c r="S251" s="1">
        <f t="shared" si="98"/>
        <v>0</v>
      </c>
      <c r="T251" s="1">
        <f t="shared" si="99"/>
        <v>0</v>
      </c>
      <c r="U251" s="1">
        <f t="shared" si="100"/>
        <v>0</v>
      </c>
      <c r="V251" s="1">
        <f t="shared" si="101"/>
        <v>0</v>
      </c>
      <c r="W251" s="1">
        <f t="shared" si="102"/>
        <v>0</v>
      </c>
      <c r="X251" s="1">
        <f t="shared" si="103"/>
        <v>0</v>
      </c>
      <c r="Y251" s="1">
        <f t="shared" si="104"/>
        <v>0</v>
      </c>
      <c r="Z251" s="1">
        <f t="shared" si="105"/>
        <v>0</v>
      </c>
      <c r="AA251" s="1">
        <f t="shared" si="106"/>
        <v>0</v>
      </c>
      <c r="AB251" s="1">
        <f t="shared" si="107"/>
        <v>0</v>
      </c>
      <c r="AD251" s="1">
        <f t="shared" si="108"/>
        <v>0</v>
      </c>
      <c r="AE251" s="1">
        <f t="shared" si="109"/>
        <v>1</v>
      </c>
      <c r="AF251" s="1">
        <f t="shared" si="94"/>
        <v>0</v>
      </c>
      <c r="AG251" s="1">
        <f t="shared" si="95"/>
        <v>1</v>
      </c>
      <c r="AH251" s="1">
        <f t="shared" si="96"/>
        <v>0</v>
      </c>
      <c r="AI251" s="1">
        <f t="shared" si="97"/>
        <v>1</v>
      </c>
    </row>
    <row r="252" spans="1:35" ht="14.25" customHeight="1" x14ac:dyDescent="0.25">
      <c r="A252" s="41">
        <v>0</v>
      </c>
      <c r="B252" s="41">
        <v>1</v>
      </c>
      <c r="C252" s="41">
        <v>7</v>
      </c>
      <c r="D252" s="42" t="s">
        <v>88</v>
      </c>
      <c r="E252" s="42" t="s">
        <v>29</v>
      </c>
      <c r="F252" s="42" t="s">
        <v>282</v>
      </c>
      <c r="G252" s="42" t="s">
        <v>239</v>
      </c>
      <c r="H252" s="42" t="s">
        <v>355</v>
      </c>
      <c r="I252" s="41" t="s">
        <v>438</v>
      </c>
      <c r="J252" s="41">
        <v>4</v>
      </c>
      <c r="K252" s="43" t="s">
        <v>958</v>
      </c>
      <c r="L252" s="43" t="s">
        <v>39</v>
      </c>
      <c r="M252" s="44" t="s">
        <v>39</v>
      </c>
      <c r="N252" s="45"/>
      <c r="O252" s="46"/>
      <c r="P252" s="46">
        <v>1</v>
      </c>
      <c r="Q252" s="42"/>
      <c r="S252" s="1">
        <f t="shared" si="98"/>
        <v>0</v>
      </c>
      <c r="T252" s="1">
        <f t="shared" si="99"/>
        <v>0</v>
      </c>
      <c r="U252" s="1">
        <f t="shared" si="100"/>
        <v>0</v>
      </c>
      <c r="V252" s="1">
        <f t="shared" si="101"/>
        <v>1</v>
      </c>
      <c r="W252" s="1">
        <f t="shared" si="102"/>
        <v>0</v>
      </c>
      <c r="X252" s="1">
        <f t="shared" si="103"/>
        <v>0</v>
      </c>
      <c r="Y252" s="1">
        <f t="shared" si="104"/>
        <v>0</v>
      </c>
      <c r="Z252" s="1">
        <f t="shared" si="105"/>
        <v>0</v>
      </c>
      <c r="AA252" s="1">
        <f t="shared" si="106"/>
        <v>0</v>
      </c>
      <c r="AB252" s="1">
        <f t="shared" si="107"/>
        <v>0</v>
      </c>
      <c r="AD252" s="1">
        <f t="shared" si="108"/>
        <v>0</v>
      </c>
      <c r="AE252" s="1">
        <f t="shared" si="109"/>
        <v>0</v>
      </c>
      <c r="AF252" s="1">
        <f t="shared" si="94"/>
        <v>0</v>
      </c>
      <c r="AG252" s="1">
        <f t="shared" si="95"/>
        <v>0</v>
      </c>
      <c r="AH252" s="1">
        <f t="shared" si="96"/>
        <v>1</v>
      </c>
      <c r="AI252" s="1">
        <f t="shared" si="97"/>
        <v>0</v>
      </c>
    </row>
    <row r="253" spans="1:35" ht="14.25" customHeight="1" x14ac:dyDescent="0.25">
      <c r="A253" s="47">
        <v>0</v>
      </c>
      <c r="B253" s="47">
        <v>1</v>
      </c>
      <c r="C253" s="47">
        <v>7</v>
      </c>
      <c r="D253" s="48" t="s">
        <v>89</v>
      </c>
      <c r="E253" s="48" t="s">
        <v>29</v>
      </c>
      <c r="F253" s="48" t="s">
        <v>283</v>
      </c>
      <c r="G253" s="48" t="s">
        <v>284</v>
      </c>
      <c r="H253" s="48" t="s">
        <v>355</v>
      </c>
      <c r="I253" s="47" t="s">
        <v>947</v>
      </c>
      <c r="J253" s="47">
        <v>99</v>
      </c>
      <c r="K253" s="49" t="s">
        <v>959</v>
      </c>
      <c r="L253" s="49" t="s">
        <v>698</v>
      </c>
      <c r="M253" s="50" t="s">
        <v>977</v>
      </c>
      <c r="N253" s="50" t="s">
        <v>1816</v>
      </c>
      <c r="O253" s="51"/>
      <c r="P253" s="51"/>
      <c r="Q253" s="48"/>
      <c r="S253" s="1">
        <f t="shared" si="98"/>
        <v>0</v>
      </c>
      <c r="T253" s="1">
        <f t="shared" si="99"/>
        <v>0</v>
      </c>
      <c r="U253" s="1">
        <f t="shared" si="100"/>
        <v>0</v>
      </c>
      <c r="V253" s="1">
        <f t="shared" si="101"/>
        <v>0</v>
      </c>
      <c r="W253" s="1">
        <f t="shared" si="102"/>
        <v>0</v>
      </c>
      <c r="X253" s="1">
        <f t="shared" si="103"/>
        <v>0</v>
      </c>
      <c r="Y253" s="1">
        <f t="shared" si="104"/>
        <v>0</v>
      </c>
      <c r="Z253" s="1">
        <f t="shared" si="105"/>
        <v>0</v>
      </c>
      <c r="AA253" s="1">
        <f t="shared" si="106"/>
        <v>0</v>
      </c>
      <c r="AB253" s="1">
        <f t="shared" si="107"/>
        <v>0</v>
      </c>
      <c r="AD253" s="1">
        <f t="shared" si="108"/>
        <v>0</v>
      </c>
      <c r="AE253" s="1">
        <f t="shared" si="109"/>
        <v>0</v>
      </c>
      <c r="AF253" s="1">
        <f t="shared" si="94"/>
        <v>0</v>
      </c>
      <c r="AG253" s="1">
        <f t="shared" si="95"/>
        <v>0</v>
      </c>
      <c r="AH253" s="1">
        <f t="shared" si="96"/>
        <v>0</v>
      </c>
      <c r="AI253" s="1">
        <f t="shared" si="97"/>
        <v>1</v>
      </c>
    </row>
    <row r="254" spans="1:35" ht="14.25" customHeight="1" x14ac:dyDescent="0.25">
      <c r="A254" s="34">
        <v>0</v>
      </c>
      <c r="B254" s="34">
        <v>1</v>
      </c>
      <c r="C254" s="34">
        <v>7</v>
      </c>
      <c r="D254" s="39" t="s">
        <v>1643</v>
      </c>
      <c r="E254" s="35" t="s">
        <v>29</v>
      </c>
      <c r="F254" s="39" t="s">
        <v>1542</v>
      </c>
      <c r="G254" s="39" t="s">
        <v>39</v>
      </c>
      <c r="H254" s="39" t="s">
        <v>890</v>
      </c>
      <c r="I254" s="40" t="s">
        <v>1543</v>
      </c>
      <c r="J254" s="34">
        <v>17</v>
      </c>
      <c r="K254" s="36" t="s">
        <v>717</v>
      </c>
      <c r="L254" s="36" t="s">
        <v>701</v>
      </c>
      <c r="M254" s="37" t="s">
        <v>1464</v>
      </c>
      <c r="N254" s="37" t="s">
        <v>1734</v>
      </c>
      <c r="O254" s="38">
        <v>1</v>
      </c>
      <c r="P254" s="38">
        <v>1</v>
      </c>
      <c r="Q254" s="39"/>
      <c r="S254" s="1">
        <f t="shared" si="98"/>
        <v>0</v>
      </c>
      <c r="T254" s="1">
        <f t="shared" si="99"/>
        <v>0</v>
      </c>
      <c r="U254" s="1">
        <f t="shared" si="100"/>
        <v>0</v>
      </c>
      <c r="V254" s="1">
        <f t="shared" si="101"/>
        <v>0</v>
      </c>
      <c r="W254" s="1">
        <f t="shared" si="102"/>
        <v>0</v>
      </c>
      <c r="X254" s="1">
        <f t="shared" si="103"/>
        <v>0</v>
      </c>
      <c r="Y254" s="1">
        <f t="shared" si="104"/>
        <v>0</v>
      </c>
      <c r="Z254" s="1">
        <f t="shared" si="105"/>
        <v>0</v>
      </c>
      <c r="AA254" s="1">
        <f t="shared" si="106"/>
        <v>0</v>
      </c>
      <c r="AB254" s="1">
        <f t="shared" si="107"/>
        <v>0</v>
      </c>
      <c r="AD254" s="1">
        <f t="shared" si="108"/>
        <v>1</v>
      </c>
      <c r="AE254" s="1">
        <f t="shared" si="109"/>
        <v>0</v>
      </c>
      <c r="AF254" s="1">
        <f t="shared" si="94"/>
        <v>1</v>
      </c>
      <c r="AG254" s="1">
        <f t="shared" si="95"/>
        <v>0</v>
      </c>
      <c r="AH254" s="1">
        <f t="shared" si="96"/>
        <v>1</v>
      </c>
      <c r="AI254" s="1">
        <f t="shared" si="97"/>
        <v>0</v>
      </c>
    </row>
    <row r="255" spans="1:35" ht="14.25" customHeight="1" x14ac:dyDescent="0.25">
      <c r="A255" s="47">
        <v>0</v>
      </c>
      <c r="B255" s="47">
        <v>1</v>
      </c>
      <c r="C255" s="47">
        <v>7</v>
      </c>
      <c r="D255" s="48" t="s">
        <v>1461</v>
      </c>
      <c r="E255" s="48" t="s">
        <v>29</v>
      </c>
      <c r="F255" s="48" t="s">
        <v>1462</v>
      </c>
      <c r="G255" s="48" t="s">
        <v>322</v>
      </c>
      <c r="H255" s="48" t="s">
        <v>355</v>
      </c>
      <c r="I255" s="47" t="s">
        <v>1463</v>
      </c>
      <c r="J255" s="47">
        <v>99</v>
      </c>
      <c r="K255" s="49" t="s">
        <v>707</v>
      </c>
      <c r="L255" s="49">
        <v>30</v>
      </c>
      <c r="M255" s="50" t="s">
        <v>1464</v>
      </c>
      <c r="N255" s="50" t="s">
        <v>1809</v>
      </c>
      <c r="O255" s="51"/>
      <c r="P255" s="51"/>
      <c r="Q255" s="48"/>
      <c r="S255" s="1">
        <f t="shared" si="98"/>
        <v>0</v>
      </c>
      <c r="T255" s="1">
        <f t="shared" si="99"/>
        <v>0</v>
      </c>
      <c r="U255" s="1">
        <f t="shared" si="100"/>
        <v>0</v>
      </c>
      <c r="V255" s="1">
        <f t="shared" si="101"/>
        <v>0</v>
      </c>
      <c r="W255" s="1">
        <f t="shared" si="102"/>
        <v>0</v>
      </c>
      <c r="X255" s="1">
        <f t="shared" si="103"/>
        <v>0</v>
      </c>
      <c r="Y255" s="1">
        <f t="shared" si="104"/>
        <v>0</v>
      </c>
      <c r="Z255" s="1">
        <f t="shared" si="105"/>
        <v>0</v>
      </c>
      <c r="AA255" s="1">
        <f t="shared" si="106"/>
        <v>0</v>
      </c>
      <c r="AB255" s="1">
        <f t="shared" si="107"/>
        <v>0</v>
      </c>
      <c r="AD255" s="1">
        <f t="shared" si="108"/>
        <v>0</v>
      </c>
      <c r="AE255" s="1">
        <f t="shared" si="109"/>
        <v>0</v>
      </c>
      <c r="AF255" s="1">
        <f t="shared" si="94"/>
        <v>0</v>
      </c>
      <c r="AG255" s="1">
        <f t="shared" si="95"/>
        <v>0</v>
      </c>
      <c r="AH255" s="1">
        <f t="shared" si="96"/>
        <v>0</v>
      </c>
      <c r="AI255" s="1">
        <f t="shared" si="97"/>
        <v>1</v>
      </c>
    </row>
    <row r="256" spans="1:35" ht="14.25" customHeight="1" x14ac:dyDescent="0.25">
      <c r="A256" s="34">
        <v>0</v>
      </c>
      <c r="B256" s="34">
        <v>1</v>
      </c>
      <c r="C256" s="34">
        <v>7</v>
      </c>
      <c r="D256" s="39" t="s">
        <v>850</v>
      </c>
      <c r="E256" s="35" t="s">
        <v>29</v>
      </c>
      <c r="F256" s="39" t="s">
        <v>851</v>
      </c>
      <c r="G256" s="39" t="s">
        <v>223</v>
      </c>
      <c r="H256" s="39" t="s">
        <v>355</v>
      </c>
      <c r="I256" s="40" t="s">
        <v>852</v>
      </c>
      <c r="J256" s="34">
        <v>99</v>
      </c>
      <c r="K256" s="36" t="s">
        <v>959</v>
      </c>
      <c r="L256" s="36" t="s">
        <v>698</v>
      </c>
      <c r="M256" s="37" t="s">
        <v>977</v>
      </c>
      <c r="N256" s="37" t="s">
        <v>1856</v>
      </c>
      <c r="O256" s="38">
        <v>1</v>
      </c>
      <c r="P256" s="38"/>
      <c r="Q256" s="39"/>
      <c r="S256" s="1">
        <f t="shared" si="98"/>
        <v>0</v>
      </c>
      <c r="T256" s="1">
        <f t="shared" si="99"/>
        <v>0</v>
      </c>
      <c r="U256" s="1">
        <f t="shared" si="100"/>
        <v>0</v>
      </c>
      <c r="V256" s="1">
        <f t="shared" si="101"/>
        <v>0</v>
      </c>
      <c r="W256" s="1">
        <f t="shared" si="102"/>
        <v>0</v>
      </c>
      <c r="X256" s="1">
        <f t="shared" si="103"/>
        <v>0</v>
      </c>
      <c r="Y256" s="1">
        <f t="shared" si="104"/>
        <v>0</v>
      </c>
      <c r="Z256" s="1">
        <f t="shared" si="105"/>
        <v>0</v>
      </c>
      <c r="AA256" s="1">
        <f t="shared" si="106"/>
        <v>0</v>
      </c>
      <c r="AB256" s="1">
        <f t="shared" si="107"/>
        <v>0</v>
      </c>
      <c r="AD256" s="1">
        <f t="shared" si="108"/>
        <v>0</v>
      </c>
      <c r="AE256" s="1">
        <f t="shared" si="109"/>
        <v>1</v>
      </c>
      <c r="AF256" s="1">
        <f t="shared" si="94"/>
        <v>0</v>
      </c>
      <c r="AG256" s="1">
        <f t="shared" si="95"/>
        <v>1</v>
      </c>
      <c r="AH256" s="1">
        <f t="shared" si="96"/>
        <v>0</v>
      </c>
      <c r="AI256" s="1">
        <f t="shared" si="97"/>
        <v>1</v>
      </c>
    </row>
    <row r="257" spans="1:35" ht="14.25" customHeight="1" x14ac:dyDescent="0.25">
      <c r="A257" s="34">
        <v>1</v>
      </c>
      <c r="B257" s="34">
        <v>1</v>
      </c>
      <c r="C257" s="34">
        <v>7</v>
      </c>
      <c r="D257" s="39" t="s">
        <v>850</v>
      </c>
      <c r="E257" s="35" t="s">
        <v>29</v>
      </c>
      <c r="F257" s="39" t="s">
        <v>934</v>
      </c>
      <c r="G257" s="39" t="s">
        <v>280</v>
      </c>
      <c r="H257" s="39" t="s">
        <v>355</v>
      </c>
      <c r="I257" s="40" t="s">
        <v>853</v>
      </c>
      <c r="J257" s="34">
        <v>99</v>
      </c>
      <c r="K257" s="36" t="s">
        <v>959</v>
      </c>
      <c r="L257" s="36" t="s">
        <v>698</v>
      </c>
      <c r="M257" s="37" t="s">
        <v>977</v>
      </c>
      <c r="N257" s="37" t="s">
        <v>1856</v>
      </c>
      <c r="O257" s="38">
        <v>1</v>
      </c>
      <c r="P257" s="38"/>
      <c r="Q257" s="39"/>
      <c r="S257" s="1">
        <f t="shared" si="98"/>
        <v>0</v>
      </c>
      <c r="T257" s="1">
        <f t="shared" si="99"/>
        <v>0</v>
      </c>
      <c r="U257" s="1">
        <f t="shared" si="100"/>
        <v>0</v>
      </c>
      <c r="V257" s="1">
        <f t="shared" si="101"/>
        <v>0</v>
      </c>
      <c r="W257" s="1">
        <f t="shared" si="102"/>
        <v>0</v>
      </c>
      <c r="X257" s="1">
        <f t="shared" si="103"/>
        <v>0</v>
      </c>
      <c r="Y257" s="1">
        <f t="shared" si="104"/>
        <v>0</v>
      </c>
      <c r="Z257" s="1">
        <f t="shared" si="105"/>
        <v>0</v>
      </c>
      <c r="AA257" s="1">
        <f t="shared" si="106"/>
        <v>0</v>
      </c>
      <c r="AB257" s="1">
        <f t="shared" si="107"/>
        <v>0</v>
      </c>
      <c r="AD257" s="1">
        <f t="shared" si="108"/>
        <v>0</v>
      </c>
      <c r="AE257" s="1">
        <f t="shared" si="109"/>
        <v>1</v>
      </c>
      <c r="AF257" s="1">
        <f t="shared" si="94"/>
        <v>0</v>
      </c>
      <c r="AG257" s="1">
        <f t="shared" si="95"/>
        <v>0</v>
      </c>
      <c r="AH257" s="1">
        <f t="shared" si="96"/>
        <v>0</v>
      </c>
      <c r="AI257" s="1">
        <f t="shared" si="97"/>
        <v>0</v>
      </c>
    </row>
    <row r="258" spans="1:35" ht="14.25" customHeight="1" x14ac:dyDescent="0.25">
      <c r="A258" s="34">
        <v>0</v>
      </c>
      <c r="B258" s="34">
        <v>1</v>
      </c>
      <c r="C258" s="34">
        <v>7</v>
      </c>
      <c r="D258" s="35" t="s">
        <v>1223</v>
      </c>
      <c r="E258" s="35" t="s">
        <v>29</v>
      </c>
      <c r="F258" s="35" t="s">
        <v>1224</v>
      </c>
      <c r="G258" s="35" t="s">
        <v>239</v>
      </c>
      <c r="H258" s="35" t="s">
        <v>355</v>
      </c>
      <c r="I258" s="34" t="s">
        <v>1368</v>
      </c>
      <c r="J258" s="34">
        <v>99</v>
      </c>
      <c r="K258" s="36" t="s">
        <v>717</v>
      </c>
      <c r="L258" s="36" t="s">
        <v>698</v>
      </c>
      <c r="M258" s="37" t="s">
        <v>1414</v>
      </c>
      <c r="N258" s="37" t="s">
        <v>1762</v>
      </c>
      <c r="O258" s="38">
        <v>1</v>
      </c>
      <c r="P258" s="38"/>
      <c r="Q258" s="35"/>
      <c r="S258" s="1">
        <f t="shared" si="98"/>
        <v>0</v>
      </c>
      <c r="T258" s="1">
        <f t="shared" si="99"/>
        <v>0</v>
      </c>
      <c r="U258" s="1">
        <f t="shared" si="100"/>
        <v>0</v>
      </c>
      <c r="V258" s="1">
        <f t="shared" si="101"/>
        <v>0</v>
      </c>
      <c r="W258" s="1">
        <f t="shared" si="102"/>
        <v>0</v>
      </c>
      <c r="X258" s="1">
        <f t="shared" si="103"/>
        <v>0</v>
      </c>
      <c r="Y258" s="1">
        <f t="shared" si="104"/>
        <v>0</v>
      </c>
      <c r="Z258" s="1">
        <f t="shared" si="105"/>
        <v>0</v>
      </c>
      <c r="AA258" s="1">
        <f t="shared" si="106"/>
        <v>0</v>
      </c>
      <c r="AB258" s="1">
        <f t="shared" si="107"/>
        <v>0</v>
      </c>
      <c r="AD258" s="1">
        <f t="shared" ref="AD258:AD259" si="110">+O258*P258</f>
        <v>0</v>
      </c>
      <c r="AE258" s="1">
        <f t="shared" ref="AE258:AE259" si="111">O258*(1-P258)</f>
        <v>1</v>
      </c>
      <c r="AF258" s="1">
        <f t="shared" ref="AF258:AF259" si="112">+O258*P258*(1-A258)</f>
        <v>0</v>
      </c>
      <c r="AG258" s="1">
        <f t="shared" ref="AG258:AG259" si="113">O258*(1-P258)*(1-A258)</f>
        <v>1</v>
      </c>
      <c r="AH258" s="1">
        <f t="shared" ref="AH258:AH259" si="114">+P258*(1-A258)</f>
        <v>0</v>
      </c>
      <c r="AI258" s="1">
        <f t="shared" ref="AI258:AI259" si="115">+(1-A258)*(1-P258)</f>
        <v>1</v>
      </c>
    </row>
    <row r="259" spans="1:35" ht="14.25" customHeight="1" x14ac:dyDescent="0.25">
      <c r="A259" s="34">
        <v>0</v>
      </c>
      <c r="B259" s="34">
        <v>1</v>
      </c>
      <c r="C259" s="34">
        <v>7</v>
      </c>
      <c r="D259" s="39" t="s">
        <v>1240</v>
      </c>
      <c r="E259" s="35" t="s">
        <v>29</v>
      </c>
      <c r="F259" s="39" t="s">
        <v>1241</v>
      </c>
      <c r="G259" s="39" t="s">
        <v>239</v>
      </c>
      <c r="H259" s="39" t="s">
        <v>355</v>
      </c>
      <c r="I259" s="40" t="s">
        <v>1242</v>
      </c>
      <c r="J259" s="34">
        <v>99</v>
      </c>
      <c r="K259" s="36" t="s">
        <v>717</v>
      </c>
      <c r="L259" s="36" t="s">
        <v>697</v>
      </c>
      <c r="M259" s="37" t="s">
        <v>1414</v>
      </c>
      <c r="N259" s="37" t="s">
        <v>1832</v>
      </c>
      <c r="O259" s="38">
        <v>1</v>
      </c>
      <c r="P259" s="38"/>
      <c r="Q259" s="39"/>
      <c r="S259" s="1">
        <f t="shared" si="98"/>
        <v>0</v>
      </c>
      <c r="T259" s="1">
        <f t="shared" si="99"/>
        <v>0</v>
      </c>
      <c r="U259" s="1">
        <f t="shared" si="100"/>
        <v>0</v>
      </c>
      <c r="V259" s="1">
        <f t="shared" si="101"/>
        <v>0</v>
      </c>
      <c r="W259" s="1">
        <f t="shared" si="102"/>
        <v>0</v>
      </c>
      <c r="X259" s="1">
        <f t="shared" si="103"/>
        <v>0</v>
      </c>
      <c r="Y259" s="1">
        <f t="shared" si="104"/>
        <v>0</v>
      </c>
      <c r="Z259" s="1">
        <f t="shared" si="105"/>
        <v>0</v>
      </c>
      <c r="AA259" s="1">
        <f t="shared" si="106"/>
        <v>0</v>
      </c>
      <c r="AB259" s="1">
        <f t="shared" si="107"/>
        <v>0</v>
      </c>
      <c r="AD259" s="1">
        <f t="shared" si="110"/>
        <v>0</v>
      </c>
      <c r="AE259" s="1">
        <f t="shared" si="111"/>
        <v>1</v>
      </c>
      <c r="AF259" s="1">
        <f t="shared" si="112"/>
        <v>0</v>
      </c>
      <c r="AG259" s="1">
        <f t="shared" si="113"/>
        <v>1</v>
      </c>
      <c r="AH259" s="1">
        <f t="shared" si="114"/>
        <v>0</v>
      </c>
      <c r="AI259" s="1">
        <f t="shared" si="115"/>
        <v>1</v>
      </c>
    </row>
    <row r="260" spans="1:35" ht="14.25" customHeight="1" x14ac:dyDescent="0.25">
      <c r="A260" s="34">
        <v>0</v>
      </c>
      <c r="B260" s="34">
        <v>1</v>
      </c>
      <c r="C260" s="34">
        <v>7</v>
      </c>
      <c r="D260" s="39" t="s">
        <v>93</v>
      </c>
      <c r="E260" s="35" t="s">
        <v>29</v>
      </c>
      <c r="F260" s="39" t="s">
        <v>289</v>
      </c>
      <c r="G260" s="39" t="s">
        <v>191</v>
      </c>
      <c r="H260" s="39" t="s">
        <v>355</v>
      </c>
      <c r="I260" s="40" t="s">
        <v>442</v>
      </c>
      <c r="J260" s="34">
        <v>99</v>
      </c>
      <c r="K260" s="36" t="s">
        <v>717</v>
      </c>
      <c r="L260" s="36" t="s">
        <v>698</v>
      </c>
      <c r="M260" s="37" t="s">
        <v>1415</v>
      </c>
      <c r="N260" s="37" t="s">
        <v>1757</v>
      </c>
      <c r="O260" s="38">
        <v>1</v>
      </c>
      <c r="P260" s="38"/>
      <c r="Q260" s="39"/>
      <c r="S260" s="1">
        <f t="shared" si="98"/>
        <v>0</v>
      </c>
      <c r="T260" s="1">
        <f t="shared" si="99"/>
        <v>0</v>
      </c>
      <c r="U260" s="1">
        <f t="shared" si="100"/>
        <v>0</v>
      </c>
      <c r="V260" s="1">
        <f t="shared" si="101"/>
        <v>0</v>
      </c>
      <c r="W260" s="1">
        <f t="shared" si="102"/>
        <v>0</v>
      </c>
      <c r="X260" s="1">
        <f t="shared" si="103"/>
        <v>0</v>
      </c>
      <c r="Y260" s="1">
        <f t="shared" si="104"/>
        <v>0</v>
      </c>
      <c r="Z260" s="1">
        <f t="shared" si="105"/>
        <v>0</v>
      </c>
      <c r="AA260" s="1">
        <f t="shared" si="106"/>
        <v>0</v>
      </c>
      <c r="AB260" s="1">
        <f t="shared" si="107"/>
        <v>0</v>
      </c>
      <c r="AD260" s="1">
        <f t="shared" si="108"/>
        <v>0</v>
      </c>
      <c r="AE260" s="1">
        <f t="shared" si="109"/>
        <v>1</v>
      </c>
      <c r="AF260" s="1">
        <f t="shared" si="94"/>
        <v>0</v>
      </c>
      <c r="AG260" s="1">
        <f t="shared" si="95"/>
        <v>1</v>
      </c>
      <c r="AH260" s="1">
        <f t="shared" si="96"/>
        <v>0</v>
      </c>
      <c r="AI260" s="1">
        <f t="shared" si="97"/>
        <v>1</v>
      </c>
    </row>
    <row r="261" spans="1:35" ht="14.25" customHeight="1" x14ac:dyDescent="0.25">
      <c r="A261" s="47">
        <v>0</v>
      </c>
      <c r="B261" s="47">
        <v>1</v>
      </c>
      <c r="C261" s="47">
        <v>7</v>
      </c>
      <c r="D261" s="48" t="s">
        <v>874</v>
      </c>
      <c r="E261" s="48" t="s">
        <v>29</v>
      </c>
      <c r="F261" s="48" t="s">
        <v>875</v>
      </c>
      <c r="G261" s="48" t="s">
        <v>195</v>
      </c>
      <c r="H261" s="48" t="s">
        <v>355</v>
      </c>
      <c r="I261" s="47" t="s">
        <v>876</v>
      </c>
      <c r="J261" s="47">
        <v>9</v>
      </c>
      <c r="K261" s="49" t="s">
        <v>717</v>
      </c>
      <c r="L261" s="49" t="s">
        <v>700</v>
      </c>
      <c r="M261" s="50" t="s">
        <v>712</v>
      </c>
      <c r="N261" s="50" t="s">
        <v>1742</v>
      </c>
      <c r="O261" s="51"/>
      <c r="P261" s="51"/>
      <c r="Q261" s="48"/>
      <c r="S261" s="1">
        <f t="shared" si="98"/>
        <v>0</v>
      </c>
      <c r="T261" s="1">
        <f t="shared" si="99"/>
        <v>0</v>
      </c>
      <c r="U261" s="1">
        <f t="shared" si="100"/>
        <v>0</v>
      </c>
      <c r="V261" s="1">
        <f t="shared" si="101"/>
        <v>0</v>
      </c>
      <c r="W261" s="1">
        <f t="shared" si="102"/>
        <v>0</v>
      </c>
      <c r="X261" s="1">
        <f t="shared" si="103"/>
        <v>0</v>
      </c>
      <c r="Y261" s="1">
        <f t="shared" si="104"/>
        <v>0</v>
      </c>
      <c r="Z261" s="1">
        <f t="shared" si="105"/>
        <v>0</v>
      </c>
      <c r="AA261" s="1">
        <f t="shared" si="106"/>
        <v>1</v>
      </c>
      <c r="AB261" s="1">
        <f t="shared" si="107"/>
        <v>0</v>
      </c>
      <c r="AD261" s="1">
        <f t="shared" si="108"/>
        <v>0</v>
      </c>
      <c r="AE261" s="1">
        <f t="shared" si="109"/>
        <v>0</v>
      </c>
      <c r="AF261" s="1">
        <f t="shared" si="94"/>
        <v>0</v>
      </c>
      <c r="AG261" s="1">
        <f t="shared" si="95"/>
        <v>0</v>
      </c>
      <c r="AH261" s="1">
        <f t="shared" si="96"/>
        <v>0</v>
      </c>
      <c r="AI261" s="1">
        <f t="shared" si="97"/>
        <v>1</v>
      </c>
    </row>
    <row r="262" spans="1:35" ht="14.25" customHeight="1" x14ac:dyDescent="0.25">
      <c r="A262" s="47">
        <v>1</v>
      </c>
      <c r="B262" s="47">
        <v>1</v>
      </c>
      <c r="C262" s="47">
        <v>7</v>
      </c>
      <c r="D262" s="48" t="s">
        <v>874</v>
      </c>
      <c r="E262" s="48" t="s">
        <v>29</v>
      </c>
      <c r="F262" s="48" t="s">
        <v>1072</v>
      </c>
      <c r="G262" s="48" t="s">
        <v>322</v>
      </c>
      <c r="H262" s="48" t="s">
        <v>355</v>
      </c>
      <c r="I262" s="47" t="s">
        <v>1073</v>
      </c>
      <c r="J262" s="47">
        <v>99</v>
      </c>
      <c r="K262" s="49" t="s">
        <v>717</v>
      </c>
      <c r="L262" s="49" t="s">
        <v>700</v>
      </c>
      <c r="M262" s="50" t="s">
        <v>712</v>
      </c>
      <c r="N262" s="50" t="s">
        <v>1742</v>
      </c>
      <c r="O262" s="51"/>
      <c r="P262" s="51"/>
      <c r="Q262" s="48"/>
      <c r="S262" s="1">
        <f t="shared" si="98"/>
        <v>0</v>
      </c>
      <c r="T262" s="1">
        <f t="shared" si="99"/>
        <v>0</v>
      </c>
      <c r="U262" s="1">
        <f t="shared" si="100"/>
        <v>0</v>
      </c>
      <c r="V262" s="1">
        <f t="shared" si="101"/>
        <v>0</v>
      </c>
      <c r="W262" s="1">
        <f t="shared" si="102"/>
        <v>0</v>
      </c>
      <c r="X262" s="1">
        <f t="shared" si="103"/>
        <v>0</v>
      </c>
      <c r="Y262" s="1">
        <f t="shared" si="104"/>
        <v>0</v>
      </c>
      <c r="Z262" s="1">
        <f t="shared" si="105"/>
        <v>0</v>
      </c>
      <c r="AA262" s="1">
        <f t="shared" si="106"/>
        <v>0</v>
      </c>
      <c r="AB262" s="1">
        <f t="shared" si="107"/>
        <v>0</v>
      </c>
      <c r="AD262" s="1">
        <f t="shared" si="108"/>
        <v>0</v>
      </c>
      <c r="AE262" s="1">
        <f t="shared" si="109"/>
        <v>0</v>
      </c>
      <c r="AF262" s="1">
        <f t="shared" si="94"/>
        <v>0</v>
      </c>
      <c r="AG262" s="1">
        <f t="shared" si="95"/>
        <v>0</v>
      </c>
      <c r="AH262" s="1">
        <f t="shared" si="96"/>
        <v>0</v>
      </c>
      <c r="AI262" s="1">
        <f t="shared" si="97"/>
        <v>0</v>
      </c>
    </row>
    <row r="263" spans="1:35" ht="14.25" customHeight="1" x14ac:dyDescent="0.25">
      <c r="A263" s="47">
        <v>0</v>
      </c>
      <c r="B263" s="47">
        <v>1</v>
      </c>
      <c r="C263" s="47">
        <v>7</v>
      </c>
      <c r="D263" s="48" t="s">
        <v>96</v>
      </c>
      <c r="E263" s="48" t="s">
        <v>29</v>
      </c>
      <c r="F263" s="48" t="s">
        <v>293</v>
      </c>
      <c r="G263" s="48" t="s">
        <v>294</v>
      </c>
      <c r="H263" s="48" t="s">
        <v>355</v>
      </c>
      <c r="I263" s="47" t="s">
        <v>1121</v>
      </c>
      <c r="J263" s="47">
        <v>99</v>
      </c>
      <c r="K263" s="49" t="s">
        <v>717</v>
      </c>
      <c r="L263" s="49" t="s">
        <v>700</v>
      </c>
      <c r="M263" s="50" t="s">
        <v>712</v>
      </c>
      <c r="N263" s="50" t="s">
        <v>1746</v>
      </c>
      <c r="O263" s="51"/>
      <c r="P263" s="51"/>
      <c r="Q263" s="48"/>
      <c r="S263" s="1">
        <f t="shared" si="98"/>
        <v>0</v>
      </c>
      <c r="T263" s="1">
        <f t="shared" si="99"/>
        <v>0</v>
      </c>
      <c r="U263" s="1">
        <f t="shared" si="100"/>
        <v>0</v>
      </c>
      <c r="V263" s="1">
        <f t="shared" si="101"/>
        <v>0</v>
      </c>
      <c r="W263" s="1">
        <f t="shared" si="102"/>
        <v>0</v>
      </c>
      <c r="X263" s="1">
        <f t="shared" si="103"/>
        <v>0</v>
      </c>
      <c r="Y263" s="1">
        <f t="shared" si="104"/>
        <v>0</v>
      </c>
      <c r="Z263" s="1">
        <f t="shared" si="105"/>
        <v>0</v>
      </c>
      <c r="AA263" s="1">
        <f t="shared" si="106"/>
        <v>0</v>
      </c>
      <c r="AB263" s="1">
        <f t="shared" si="107"/>
        <v>0</v>
      </c>
      <c r="AD263" s="1">
        <f t="shared" si="108"/>
        <v>0</v>
      </c>
      <c r="AE263" s="1">
        <f t="shared" si="109"/>
        <v>0</v>
      </c>
      <c r="AF263" s="1">
        <f t="shared" si="94"/>
        <v>0</v>
      </c>
      <c r="AG263" s="1">
        <f t="shared" si="95"/>
        <v>0</v>
      </c>
      <c r="AH263" s="1">
        <f t="shared" si="96"/>
        <v>0</v>
      </c>
      <c r="AI263" s="1">
        <f t="shared" si="97"/>
        <v>1</v>
      </c>
    </row>
    <row r="264" spans="1:35" ht="14.25" customHeight="1" x14ac:dyDescent="0.25">
      <c r="A264" s="47">
        <v>0</v>
      </c>
      <c r="B264" s="47">
        <v>1</v>
      </c>
      <c r="C264" s="47">
        <v>7</v>
      </c>
      <c r="D264" s="48" t="s">
        <v>534</v>
      </c>
      <c r="E264" s="48" t="s">
        <v>29</v>
      </c>
      <c r="F264" s="48" t="s">
        <v>668</v>
      </c>
      <c r="G264" s="48" t="s">
        <v>39</v>
      </c>
      <c r="H264" s="48" t="s">
        <v>535</v>
      </c>
      <c r="I264" s="47" t="s">
        <v>1697</v>
      </c>
      <c r="J264" s="47">
        <v>14</v>
      </c>
      <c r="K264" s="49" t="s">
        <v>958</v>
      </c>
      <c r="L264" s="49">
        <v>40</v>
      </c>
      <c r="M264" s="50" t="s">
        <v>712</v>
      </c>
      <c r="N264" s="50" t="s">
        <v>1742</v>
      </c>
      <c r="O264" s="51"/>
      <c r="P264" s="51"/>
      <c r="Q264" s="48"/>
      <c r="S264" s="1">
        <f t="shared" si="98"/>
        <v>0</v>
      </c>
      <c r="T264" s="1">
        <f t="shared" si="99"/>
        <v>0</v>
      </c>
      <c r="U264" s="1">
        <f t="shared" si="100"/>
        <v>0</v>
      </c>
      <c r="V264" s="1">
        <f t="shared" si="101"/>
        <v>0</v>
      </c>
      <c r="W264" s="1">
        <f t="shared" si="102"/>
        <v>0</v>
      </c>
      <c r="X264" s="1">
        <f t="shared" si="103"/>
        <v>0</v>
      </c>
      <c r="Y264" s="1">
        <f t="shared" si="104"/>
        <v>0</v>
      </c>
      <c r="Z264" s="1">
        <f t="shared" si="105"/>
        <v>0</v>
      </c>
      <c r="AA264" s="1">
        <f t="shared" si="106"/>
        <v>0</v>
      </c>
      <c r="AB264" s="1">
        <f t="shared" si="107"/>
        <v>0</v>
      </c>
      <c r="AD264" s="1">
        <f t="shared" si="108"/>
        <v>0</v>
      </c>
      <c r="AE264" s="1">
        <f t="shared" si="109"/>
        <v>0</v>
      </c>
      <c r="AF264" s="1">
        <f t="shared" si="94"/>
        <v>0</v>
      </c>
      <c r="AG264" s="1">
        <f t="shared" si="95"/>
        <v>0</v>
      </c>
      <c r="AH264" s="1">
        <f t="shared" si="96"/>
        <v>0</v>
      </c>
      <c r="AI264" s="1">
        <f t="shared" si="97"/>
        <v>1</v>
      </c>
    </row>
    <row r="265" spans="1:35" ht="14.25" customHeight="1" x14ac:dyDescent="0.25">
      <c r="A265" s="34">
        <v>0</v>
      </c>
      <c r="B265" s="34">
        <v>1</v>
      </c>
      <c r="C265" s="34">
        <v>7</v>
      </c>
      <c r="D265" s="39" t="s">
        <v>1328</v>
      </c>
      <c r="E265" s="35" t="s">
        <v>29</v>
      </c>
      <c r="F265" s="39" t="s">
        <v>1352</v>
      </c>
      <c r="G265" s="39" t="s">
        <v>39</v>
      </c>
      <c r="H265" s="39" t="s">
        <v>355</v>
      </c>
      <c r="I265" s="40" t="s">
        <v>1156</v>
      </c>
      <c r="J265" s="34">
        <v>99</v>
      </c>
      <c r="K265" s="36" t="s">
        <v>717</v>
      </c>
      <c r="L265" s="36" t="s">
        <v>697</v>
      </c>
      <c r="M265" s="37" t="s">
        <v>1416</v>
      </c>
      <c r="N265" s="37" t="s">
        <v>1740</v>
      </c>
      <c r="O265" s="38">
        <v>1</v>
      </c>
      <c r="P265" s="38">
        <v>1</v>
      </c>
      <c r="Q265" s="39"/>
      <c r="S265" s="1">
        <f t="shared" si="98"/>
        <v>0</v>
      </c>
      <c r="T265" s="1">
        <f t="shared" si="99"/>
        <v>0</v>
      </c>
      <c r="U265" s="1">
        <f t="shared" si="100"/>
        <v>0</v>
      </c>
      <c r="V265" s="1">
        <f t="shared" si="101"/>
        <v>0</v>
      </c>
      <c r="W265" s="1">
        <f t="shared" si="102"/>
        <v>0</v>
      </c>
      <c r="X265" s="1">
        <f t="shared" si="103"/>
        <v>0</v>
      </c>
      <c r="Y265" s="1">
        <f t="shared" si="104"/>
        <v>0</v>
      </c>
      <c r="Z265" s="1">
        <f t="shared" si="105"/>
        <v>0</v>
      </c>
      <c r="AA265" s="1">
        <f t="shared" si="106"/>
        <v>0</v>
      </c>
      <c r="AB265" s="1">
        <f t="shared" si="107"/>
        <v>0</v>
      </c>
      <c r="AD265" s="1">
        <f t="shared" si="108"/>
        <v>1</v>
      </c>
      <c r="AE265" s="1">
        <f t="shared" si="109"/>
        <v>0</v>
      </c>
      <c r="AF265" s="1">
        <f t="shared" si="94"/>
        <v>1</v>
      </c>
      <c r="AG265" s="1">
        <f t="shared" si="95"/>
        <v>0</v>
      </c>
      <c r="AH265" s="1">
        <f t="shared" si="96"/>
        <v>1</v>
      </c>
      <c r="AI265" s="1">
        <f t="shared" si="97"/>
        <v>0</v>
      </c>
    </row>
    <row r="266" spans="1:35" ht="14.25" customHeight="1" x14ac:dyDescent="0.25">
      <c r="A266" s="47">
        <v>0</v>
      </c>
      <c r="B266" s="47">
        <v>1</v>
      </c>
      <c r="C266" s="47">
        <v>7</v>
      </c>
      <c r="D266" s="48" t="s">
        <v>97</v>
      </c>
      <c r="E266" s="48" t="s">
        <v>29</v>
      </c>
      <c r="F266" s="48" t="s">
        <v>296</v>
      </c>
      <c r="G266" s="48" t="s">
        <v>264</v>
      </c>
      <c r="H266" s="48" t="s">
        <v>355</v>
      </c>
      <c r="I266" s="47" t="s">
        <v>446</v>
      </c>
      <c r="J266" s="47">
        <v>1</v>
      </c>
      <c r="K266" s="49" t="s">
        <v>717</v>
      </c>
      <c r="L266" s="49" t="s">
        <v>698</v>
      </c>
      <c r="M266" s="50" t="s">
        <v>712</v>
      </c>
      <c r="N266" s="50" t="s">
        <v>1742</v>
      </c>
      <c r="O266" s="51"/>
      <c r="P266" s="51"/>
      <c r="Q266" s="48"/>
      <c r="S266" s="1">
        <f t="shared" si="98"/>
        <v>1</v>
      </c>
      <c r="T266" s="1">
        <f t="shared" si="99"/>
        <v>0</v>
      </c>
      <c r="U266" s="1">
        <f t="shared" si="100"/>
        <v>0</v>
      </c>
      <c r="V266" s="1">
        <f t="shared" si="101"/>
        <v>0</v>
      </c>
      <c r="W266" s="1">
        <f t="shared" si="102"/>
        <v>0</v>
      </c>
      <c r="X266" s="1">
        <f t="shared" si="103"/>
        <v>0</v>
      </c>
      <c r="Y266" s="1">
        <f t="shared" si="104"/>
        <v>0</v>
      </c>
      <c r="Z266" s="1">
        <f t="shared" si="105"/>
        <v>0</v>
      </c>
      <c r="AA266" s="1">
        <f t="shared" si="106"/>
        <v>0</v>
      </c>
      <c r="AB266" s="1">
        <f t="shared" si="107"/>
        <v>0</v>
      </c>
      <c r="AD266" s="1">
        <f t="shared" si="108"/>
        <v>0</v>
      </c>
      <c r="AE266" s="1">
        <f t="shared" si="109"/>
        <v>0</v>
      </c>
      <c r="AF266" s="1">
        <f t="shared" ref="AF266:AF330" si="116">+O266*P266*(1-A266)</f>
        <v>0</v>
      </c>
      <c r="AG266" s="1">
        <f t="shared" ref="AG266:AG330" si="117">O266*(1-P266)*(1-A266)</f>
        <v>0</v>
      </c>
      <c r="AH266" s="1">
        <f t="shared" ref="AH266:AH330" si="118">+P266*(1-A266)</f>
        <v>0</v>
      </c>
      <c r="AI266" s="1">
        <f t="shared" ref="AI266:AI330" si="119">+(1-A266)*(1-P266)</f>
        <v>1</v>
      </c>
    </row>
    <row r="267" spans="1:35" ht="14.25" customHeight="1" x14ac:dyDescent="0.25">
      <c r="A267" s="15">
        <v>0</v>
      </c>
      <c r="B267" s="15">
        <v>1</v>
      </c>
      <c r="C267" s="15">
        <v>7</v>
      </c>
      <c r="D267" s="16" t="s">
        <v>759</v>
      </c>
      <c r="E267" s="16" t="s">
        <v>29</v>
      </c>
      <c r="F267" s="16" t="s">
        <v>760</v>
      </c>
      <c r="G267" s="16" t="s">
        <v>39</v>
      </c>
      <c r="H267" s="16" t="s">
        <v>761</v>
      </c>
      <c r="I267" s="15" t="s">
        <v>762</v>
      </c>
      <c r="J267" s="15">
        <v>18</v>
      </c>
      <c r="K267" s="10" t="s">
        <v>707</v>
      </c>
      <c r="L267" s="10" t="s">
        <v>701</v>
      </c>
      <c r="M267" s="19" t="s">
        <v>712</v>
      </c>
      <c r="N267" s="17"/>
      <c r="Q267" s="16"/>
      <c r="S267" s="1">
        <f t="shared" si="98"/>
        <v>0</v>
      </c>
      <c r="T267" s="1">
        <f t="shared" si="99"/>
        <v>0</v>
      </c>
      <c r="U267" s="1">
        <f t="shared" si="100"/>
        <v>0</v>
      </c>
      <c r="V267" s="1">
        <f t="shared" si="101"/>
        <v>0</v>
      </c>
      <c r="W267" s="1">
        <f t="shared" si="102"/>
        <v>0</v>
      </c>
      <c r="X267" s="1">
        <f t="shared" si="103"/>
        <v>0</v>
      </c>
      <c r="Y267" s="1">
        <f t="shared" si="104"/>
        <v>0</v>
      </c>
      <c r="Z267" s="1">
        <f t="shared" si="105"/>
        <v>0</v>
      </c>
      <c r="AA267" s="1">
        <f t="shared" si="106"/>
        <v>0</v>
      </c>
      <c r="AB267" s="1">
        <f t="shared" si="107"/>
        <v>0</v>
      </c>
      <c r="AD267" s="1">
        <f t="shared" si="108"/>
        <v>0</v>
      </c>
      <c r="AE267" s="1">
        <f t="shared" si="109"/>
        <v>0</v>
      </c>
      <c r="AF267" s="1">
        <f t="shared" si="116"/>
        <v>0</v>
      </c>
      <c r="AG267" s="1">
        <f t="shared" si="117"/>
        <v>0</v>
      </c>
      <c r="AH267" s="1">
        <f t="shared" si="118"/>
        <v>0</v>
      </c>
      <c r="AI267" s="1">
        <f t="shared" si="119"/>
        <v>1</v>
      </c>
    </row>
    <row r="268" spans="1:35" ht="14.25" customHeight="1" x14ac:dyDescent="0.25">
      <c r="A268" s="15">
        <v>1</v>
      </c>
      <c r="B268" s="15">
        <v>1</v>
      </c>
      <c r="C268" s="15">
        <v>7</v>
      </c>
      <c r="D268" s="16" t="s">
        <v>759</v>
      </c>
      <c r="E268" s="16" t="s">
        <v>29</v>
      </c>
      <c r="F268" s="16" t="s">
        <v>763</v>
      </c>
      <c r="G268" s="16" t="s">
        <v>39</v>
      </c>
      <c r="H268" s="16" t="s">
        <v>749</v>
      </c>
      <c r="I268" s="15" t="s">
        <v>764</v>
      </c>
      <c r="J268" s="15">
        <v>17</v>
      </c>
      <c r="K268" s="10" t="s">
        <v>707</v>
      </c>
      <c r="L268" s="10" t="s">
        <v>701</v>
      </c>
      <c r="M268" s="19" t="s">
        <v>712</v>
      </c>
      <c r="N268" s="17"/>
      <c r="Q268" s="16"/>
      <c r="S268" s="1">
        <f t="shared" si="98"/>
        <v>0</v>
      </c>
      <c r="T268" s="1">
        <f t="shared" si="99"/>
        <v>0</v>
      </c>
      <c r="U268" s="1">
        <f t="shared" si="100"/>
        <v>0</v>
      </c>
      <c r="V268" s="1">
        <f t="shared" si="101"/>
        <v>0</v>
      </c>
      <c r="W268" s="1">
        <f t="shared" si="102"/>
        <v>0</v>
      </c>
      <c r="X268" s="1">
        <f t="shared" si="103"/>
        <v>0</v>
      </c>
      <c r="Y268" s="1">
        <f t="shared" si="104"/>
        <v>0</v>
      </c>
      <c r="Z268" s="1">
        <f t="shared" si="105"/>
        <v>0</v>
      </c>
      <c r="AA268" s="1">
        <f t="shared" si="106"/>
        <v>0</v>
      </c>
      <c r="AB268" s="1">
        <f t="shared" si="107"/>
        <v>0</v>
      </c>
      <c r="AD268" s="1">
        <f t="shared" si="108"/>
        <v>0</v>
      </c>
      <c r="AE268" s="1">
        <f t="shared" si="109"/>
        <v>0</v>
      </c>
      <c r="AF268" s="1">
        <f t="shared" si="116"/>
        <v>0</v>
      </c>
      <c r="AG268" s="1">
        <f t="shared" si="117"/>
        <v>0</v>
      </c>
      <c r="AH268" s="1">
        <f t="shared" si="118"/>
        <v>0</v>
      </c>
      <c r="AI268" s="1">
        <f t="shared" si="119"/>
        <v>0</v>
      </c>
    </row>
    <row r="269" spans="1:35" ht="14.25" customHeight="1" x14ac:dyDescent="0.25">
      <c r="A269" s="34">
        <v>0</v>
      </c>
      <c r="B269" s="34">
        <v>1</v>
      </c>
      <c r="C269" s="34">
        <v>7</v>
      </c>
      <c r="D269" s="39" t="s">
        <v>1525</v>
      </c>
      <c r="E269" s="35" t="s">
        <v>29</v>
      </c>
      <c r="F269" s="39" t="s">
        <v>1678</v>
      </c>
      <c r="G269" s="39" t="s">
        <v>1679</v>
      </c>
      <c r="H269" s="39" t="s">
        <v>355</v>
      </c>
      <c r="I269" s="40" t="s">
        <v>1526</v>
      </c>
      <c r="J269" s="34">
        <v>99</v>
      </c>
      <c r="K269" s="36" t="s">
        <v>717</v>
      </c>
      <c r="L269" s="36" t="s">
        <v>39</v>
      </c>
      <c r="M269" s="37" t="s">
        <v>39</v>
      </c>
      <c r="N269" s="37" t="s">
        <v>1734</v>
      </c>
      <c r="O269" s="38">
        <v>1</v>
      </c>
      <c r="P269" s="38">
        <v>1</v>
      </c>
      <c r="Q269" s="39"/>
      <c r="S269" s="1">
        <f t="shared" si="98"/>
        <v>0</v>
      </c>
      <c r="T269" s="1">
        <f t="shared" si="99"/>
        <v>0</v>
      </c>
      <c r="U269" s="1">
        <f t="shared" si="100"/>
        <v>0</v>
      </c>
      <c r="V269" s="1">
        <f t="shared" si="101"/>
        <v>0</v>
      </c>
      <c r="W269" s="1">
        <f t="shared" si="102"/>
        <v>0</v>
      </c>
      <c r="X269" s="1">
        <f t="shared" si="103"/>
        <v>0</v>
      </c>
      <c r="Y269" s="1">
        <f t="shared" si="104"/>
        <v>0</v>
      </c>
      <c r="Z269" s="1">
        <f t="shared" si="105"/>
        <v>0</v>
      </c>
      <c r="AA269" s="1">
        <f t="shared" si="106"/>
        <v>0</v>
      </c>
      <c r="AB269" s="1">
        <f t="shared" si="107"/>
        <v>0</v>
      </c>
      <c r="AD269" s="1">
        <f t="shared" si="108"/>
        <v>1</v>
      </c>
      <c r="AE269" s="1">
        <f t="shared" si="109"/>
        <v>0</v>
      </c>
      <c r="AF269" s="1">
        <f t="shared" si="116"/>
        <v>1</v>
      </c>
      <c r="AG269" s="1">
        <f t="shared" si="117"/>
        <v>0</v>
      </c>
      <c r="AH269" s="1">
        <f t="shared" si="118"/>
        <v>1</v>
      </c>
      <c r="AI269" s="1">
        <f t="shared" si="119"/>
        <v>0</v>
      </c>
    </row>
    <row r="270" spans="1:35" ht="14.25" customHeight="1" x14ac:dyDescent="0.25">
      <c r="A270" s="15">
        <v>0</v>
      </c>
      <c r="B270" s="15">
        <v>1</v>
      </c>
      <c r="C270" s="15">
        <v>7</v>
      </c>
      <c r="D270" s="16" t="s">
        <v>1150</v>
      </c>
      <c r="E270" s="16" t="s">
        <v>29</v>
      </c>
      <c r="F270" s="16" t="s">
        <v>1151</v>
      </c>
      <c r="G270" s="16" t="s">
        <v>1153</v>
      </c>
      <c r="H270" s="16" t="s">
        <v>355</v>
      </c>
      <c r="I270" s="15" t="s">
        <v>1152</v>
      </c>
      <c r="J270" s="15">
        <v>99</v>
      </c>
      <c r="K270" s="10" t="s">
        <v>707</v>
      </c>
      <c r="L270" s="10">
        <v>30</v>
      </c>
      <c r="M270" s="19" t="s">
        <v>1417</v>
      </c>
      <c r="N270" s="19"/>
      <c r="Q270" s="16"/>
      <c r="S270" s="1">
        <f t="shared" ref="S270:S334" si="120">IF(J270=$S$7,1,0)</f>
        <v>0</v>
      </c>
      <c r="T270" s="1">
        <f t="shared" ref="T270:T334" si="121">IF(J270=$T$7,1,0)</f>
        <v>0</v>
      </c>
      <c r="U270" s="1">
        <f t="shared" ref="U270:U334" si="122">IF(J270=$U$7,1,0)</f>
        <v>0</v>
      </c>
      <c r="V270" s="1">
        <f t="shared" ref="V270:V334" si="123">IF(J270=$V$7,1,0)</f>
        <v>0</v>
      </c>
      <c r="W270" s="1">
        <f t="shared" ref="W270:W334" si="124">IF(J270=$W$7,1,0)</f>
        <v>0</v>
      </c>
      <c r="X270" s="1">
        <f t="shared" ref="X270:X334" si="125">IF(J270=$X$7,1,0)</f>
        <v>0</v>
      </c>
      <c r="Y270" s="1">
        <f t="shared" ref="Y270:Y334" si="126">IF(J270=$Y$7,1,0)</f>
        <v>0</v>
      </c>
      <c r="Z270" s="1">
        <f t="shared" ref="Z270:Z334" si="127">IF(J270=$Z$7,1,0)</f>
        <v>0</v>
      </c>
      <c r="AA270" s="1">
        <f t="shared" ref="AA270:AA334" si="128">IF(J270=$AA$7,1,0)</f>
        <v>0</v>
      </c>
      <c r="AB270" s="1">
        <f t="shared" ref="AB270:AB334" si="129">IF(J270=$AB$7,1,0)</f>
        <v>0</v>
      </c>
      <c r="AD270" s="1">
        <f t="shared" ref="AD270:AD334" si="130">+O270*P270</f>
        <v>0</v>
      </c>
      <c r="AE270" s="1">
        <f t="shared" ref="AE270:AE334" si="131">O270*(1-P270)</f>
        <v>0</v>
      </c>
      <c r="AF270" s="1">
        <f t="shared" si="116"/>
        <v>0</v>
      </c>
      <c r="AG270" s="1">
        <f t="shared" si="117"/>
        <v>0</v>
      </c>
      <c r="AH270" s="1">
        <f t="shared" si="118"/>
        <v>0</v>
      </c>
      <c r="AI270" s="1">
        <f t="shared" si="119"/>
        <v>1</v>
      </c>
    </row>
    <row r="271" spans="1:35" ht="14.25" customHeight="1" x14ac:dyDescent="0.25">
      <c r="A271" s="47">
        <v>0</v>
      </c>
      <c r="B271" s="47">
        <v>1</v>
      </c>
      <c r="C271" s="47">
        <v>7</v>
      </c>
      <c r="D271" s="48" t="s">
        <v>99</v>
      </c>
      <c r="E271" s="48" t="s">
        <v>29</v>
      </c>
      <c r="F271" s="48" t="s">
        <v>298</v>
      </c>
      <c r="G271" s="48" t="s">
        <v>198</v>
      </c>
      <c r="H271" s="48" t="s">
        <v>355</v>
      </c>
      <c r="I271" s="47" t="s">
        <v>447</v>
      </c>
      <c r="J271" s="47">
        <v>9</v>
      </c>
      <c r="K271" s="49" t="s">
        <v>707</v>
      </c>
      <c r="L271" s="49">
        <v>30</v>
      </c>
      <c r="M271" s="50" t="s">
        <v>712</v>
      </c>
      <c r="N271" s="50" t="s">
        <v>1742</v>
      </c>
      <c r="O271" s="51"/>
      <c r="P271" s="51"/>
      <c r="Q271" s="48"/>
      <c r="S271" s="1">
        <f t="shared" si="120"/>
        <v>0</v>
      </c>
      <c r="T271" s="1">
        <f t="shared" si="121"/>
        <v>0</v>
      </c>
      <c r="U271" s="1">
        <f t="shared" si="122"/>
        <v>0</v>
      </c>
      <c r="V271" s="1">
        <f t="shared" si="123"/>
        <v>0</v>
      </c>
      <c r="W271" s="1">
        <f t="shared" si="124"/>
        <v>0</v>
      </c>
      <c r="X271" s="1">
        <f t="shared" si="125"/>
        <v>0</v>
      </c>
      <c r="Y271" s="1">
        <f t="shared" si="126"/>
        <v>0</v>
      </c>
      <c r="Z271" s="1">
        <f t="shared" si="127"/>
        <v>0</v>
      </c>
      <c r="AA271" s="1">
        <f t="shared" si="128"/>
        <v>1</v>
      </c>
      <c r="AB271" s="1">
        <f t="shared" si="129"/>
        <v>0</v>
      </c>
      <c r="AD271" s="1">
        <f t="shared" si="130"/>
        <v>0</v>
      </c>
      <c r="AE271" s="1">
        <f t="shared" si="131"/>
        <v>0</v>
      </c>
      <c r="AF271" s="1">
        <f t="shared" si="116"/>
        <v>0</v>
      </c>
      <c r="AG271" s="1">
        <f t="shared" si="117"/>
        <v>0</v>
      </c>
      <c r="AH271" s="1">
        <f t="shared" si="118"/>
        <v>0</v>
      </c>
      <c r="AI271" s="1">
        <f t="shared" si="119"/>
        <v>1</v>
      </c>
    </row>
    <row r="272" spans="1:35" ht="14.25" customHeight="1" x14ac:dyDescent="0.25">
      <c r="A272" s="47">
        <v>0</v>
      </c>
      <c r="B272" s="47">
        <v>1</v>
      </c>
      <c r="C272" s="47">
        <v>7</v>
      </c>
      <c r="D272" s="48" t="s">
        <v>807</v>
      </c>
      <c r="E272" s="48" t="s">
        <v>29</v>
      </c>
      <c r="F272" s="48" t="s">
        <v>786</v>
      </c>
      <c r="G272" s="48" t="s">
        <v>808</v>
      </c>
      <c r="H272" s="48" t="s">
        <v>355</v>
      </c>
      <c r="I272" s="47" t="s">
        <v>956</v>
      </c>
      <c r="J272" s="47">
        <v>99</v>
      </c>
      <c r="K272" s="49" t="s">
        <v>717</v>
      </c>
      <c r="L272" s="49" t="s">
        <v>698</v>
      </c>
      <c r="M272" s="50" t="s">
        <v>712</v>
      </c>
      <c r="N272" s="50" t="s">
        <v>1809</v>
      </c>
      <c r="O272" s="51"/>
      <c r="P272" s="51"/>
      <c r="Q272" s="48"/>
      <c r="S272" s="1">
        <f t="shared" si="120"/>
        <v>0</v>
      </c>
      <c r="T272" s="1">
        <f t="shared" si="121"/>
        <v>0</v>
      </c>
      <c r="U272" s="1">
        <f t="shared" si="122"/>
        <v>0</v>
      </c>
      <c r="V272" s="1">
        <f t="shared" si="123"/>
        <v>0</v>
      </c>
      <c r="W272" s="1">
        <f t="shared" si="124"/>
        <v>0</v>
      </c>
      <c r="X272" s="1">
        <f t="shared" si="125"/>
        <v>0</v>
      </c>
      <c r="Y272" s="1">
        <f t="shared" si="126"/>
        <v>0</v>
      </c>
      <c r="Z272" s="1">
        <f t="shared" si="127"/>
        <v>0</v>
      </c>
      <c r="AA272" s="1">
        <f t="shared" si="128"/>
        <v>0</v>
      </c>
      <c r="AB272" s="1">
        <f t="shared" si="129"/>
        <v>0</v>
      </c>
      <c r="AD272" s="1">
        <f t="shared" si="130"/>
        <v>0</v>
      </c>
      <c r="AE272" s="1">
        <f t="shared" si="131"/>
        <v>0</v>
      </c>
      <c r="AF272" s="1">
        <f t="shared" si="116"/>
        <v>0</v>
      </c>
      <c r="AG272" s="1">
        <f t="shared" si="117"/>
        <v>0</v>
      </c>
      <c r="AH272" s="1">
        <f t="shared" si="118"/>
        <v>0</v>
      </c>
      <c r="AI272" s="1">
        <f t="shared" si="119"/>
        <v>1</v>
      </c>
    </row>
    <row r="273" spans="1:36" ht="14.25" customHeight="1" x14ac:dyDescent="0.25">
      <c r="A273" s="47">
        <v>0</v>
      </c>
      <c r="B273" s="47">
        <v>1</v>
      </c>
      <c r="C273" s="47">
        <v>7</v>
      </c>
      <c r="D273" s="48" t="s">
        <v>1331</v>
      </c>
      <c r="E273" s="48" t="s">
        <v>29</v>
      </c>
      <c r="F273" s="48" t="s">
        <v>1354</v>
      </c>
      <c r="G273" s="48" t="s">
        <v>1188</v>
      </c>
      <c r="H273" s="48" t="s">
        <v>355</v>
      </c>
      <c r="I273" s="47" t="s">
        <v>1699</v>
      </c>
      <c r="J273" s="47">
        <v>99</v>
      </c>
      <c r="K273" s="49" t="s">
        <v>717</v>
      </c>
      <c r="L273" s="49" t="s">
        <v>698</v>
      </c>
      <c r="M273" s="50" t="s">
        <v>1418</v>
      </c>
      <c r="N273" s="50" t="s">
        <v>1745</v>
      </c>
      <c r="O273" s="51"/>
      <c r="P273" s="51"/>
      <c r="Q273" s="48"/>
      <c r="S273" s="1">
        <f t="shared" si="120"/>
        <v>0</v>
      </c>
      <c r="T273" s="1">
        <f t="shared" si="121"/>
        <v>0</v>
      </c>
      <c r="U273" s="1">
        <f t="shared" si="122"/>
        <v>0</v>
      </c>
      <c r="V273" s="1">
        <f t="shared" si="123"/>
        <v>0</v>
      </c>
      <c r="W273" s="1">
        <f t="shared" si="124"/>
        <v>0</v>
      </c>
      <c r="X273" s="1">
        <f t="shared" si="125"/>
        <v>0</v>
      </c>
      <c r="Y273" s="1">
        <f t="shared" si="126"/>
        <v>0</v>
      </c>
      <c r="Z273" s="1">
        <f t="shared" si="127"/>
        <v>0</v>
      </c>
      <c r="AA273" s="1">
        <f t="shared" si="128"/>
        <v>0</v>
      </c>
      <c r="AB273" s="1">
        <f t="shared" si="129"/>
        <v>0</v>
      </c>
      <c r="AD273" s="1">
        <f t="shared" si="130"/>
        <v>0</v>
      </c>
      <c r="AE273" s="1">
        <f t="shared" si="131"/>
        <v>0</v>
      </c>
      <c r="AF273" s="1">
        <f t="shared" si="116"/>
        <v>0</v>
      </c>
      <c r="AG273" s="1">
        <f t="shared" si="117"/>
        <v>0</v>
      </c>
      <c r="AH273" s="1">
        <f t="shared" si="118"/>
        <v>0</v>
      </c>
      <c r="AI273" s="1">
        <f t="shared" si="119"/>
        <v>1</v>
      </c>
    </row>
    <row r="274" spans="1:36" ht="14.25" customHeight="1" x14ac:dyDescent="0.25">
      <c r="A274" s="15">
        <v>0</v>
      </c>
      <c r="B274" s="15">
        <v>1</v>
      </c>
      <c r="C274" s="15">
        <v>7</v>
      </c>
      <c r="D274" s="16" t="s">
        <v>1286</v>
      </c>
      <c r="E274" s="16" t="s">
        <v>29</v>
      </c>
      <c r="F274" s="16" t="s">
        <v>1287</v>
      </c>
      <c r="G274" s="16" t="s">
        <v>1288</v>
      </c>
      <c r="H274" s="16" t="s">
        <v>355</v>
      </c>
      <c r="I274" s="15" t="s">
        <v>1289</v>
      </c>
      <c r="J274" s="15">
        <v>99</v>
      </c>
      <c r="K274" s="10" t="s">
        <v>717</v>
      </c>
      <c r="L274" s="10" t="s">
        <v>698</v>
      </c>
      <c r="M274" s="19" t="s">
        <v>712</v>
      </c>
      <c r="N274" s="17"/>
      <c r="Q274" s="16"/>
      <c r="S274" s="1">
        <f t="shared" si="120"/>
        <v>0</v>
      </c>
      <c r="T274" s="1">
        <f t="shared" si="121"/>
        <v>0</v>
      </c>
      <c r="U274" s="1">
        <f t="shared" si="122"/>
        <v>0</v>
      </c>
      <c r="V274" s="1">
        <f t="shared" si="123"/>
        <v>0</v>
      </c>
      <c r="W274" s="1">
        <f t="shared" si="124"/>
        <v>0</v>
      </c>
      <c r="X274" s="1">
        <f t="shared" si="125"/>
        <v>0</v>
      </c>
      <c r="Y274" s="1">
        <f t="shared" si="126"/>
        <v>0</v>
      </c>
      <c r="Z274" s="1">
        <f t="shared" si="127"/>
        <v>0</v>
      </c>
      <c r="AA274" s="1">
        <f t="shared" si="128"/>
        <v>0</v>
      </c>
      <c r="AB274" s="1">
        <f t="shared" si="129"/>
        <v>0</v>
      </c>
      <c r="AD274" s="1">
        <f t="shared" si="130"/>
        <v>0</v>
      </c>
      <c r="AE274" s="1">
        <f t="shared" si="131"/>
        <v>0</v>
      </c>
      <c r="AF274" s="1">
        <f t="shared" si="116"/>
        <v>0</v>
      </c>
      <c r="AG274" s="1">
        <f t="shared" si="117"/>
        <v>0</v>
      </c>
      <c r="AH274" s="1">
        <f t="shared" si="118"/>
        <v>0</v>
      </c>
      <c r="AI274" s="1">
        <f t="shared" si="119"/>
        <v>1</v>
      </c>
    </row>
    <row r="275" spans="1:36" ht="14.25" customHeight="1" x14ac:dyDescent="0.25">
      <c r="A275" s="34">
        <v>0</v>
      </c>
      <c r="B275" s="34">
        <v>1</v>
      </c>
      <c r="C275" s="34">
        <v>7</v>
      </c>
      <c r="D275" s="35" t="s">
        <v>713</v>
      </c>
      <c r="E275" s="35" t="s">
        <v>29</v>
      </c>
      <c r="F275" s="35" t="s">
        <v>714</v>
      </c>
      <c r="G275" s="35" t="s">
        <v>185</v>
      </c>
      <c r="H275" s="35" t="s">
        <v>355</v>
      </c>
      <c r="I275" s="34" t="s">
        <v>715</v>
      </c>
      <c r="J275" s="34">
        <v>99</v>
      </c>
      <c r="K275" s="36" t="s">
        <v>959</v>
      </c>
      <c r="L275" s="36" t="s">
        <v>39</v>
      </c>
      <c r="M275" s="37" t="s">
        <v>39</v>
      </c>
      <c r="N275" s="37" t="s">
        <v>1740</v>
      </c>
      <c r="O275" s="38">
        <v>1</v>
      </c>
      <c r="P275" s="38">
        <v>1</v>
      </c>
      <c r="Q275" s="35"/>
      <c r="S275" s="1">
        <f t="shared" si="120"/>
        <v>0</v>
      </c>
      <c r="T275" s="1">
        <f t="shared" si="121"/>
        <v>0</v>
      </c>
      <c r="U275" s="1">
        <f t="shared" si="122"/>
        <v>0</v>
      </c>
      <c r="V275" s="1">
        <f t="shared" si="123"/>
        <v>0</v>
      </c>
      <c r="W275" s="1">
        <f t="shared" si="124"/>
        <v>0</v>
      </c>
      <c r="X275" s="1">
        <f t="shared" si="125"/>
        <v>0</v>
      </c>
      <c r="Y275" s="1">
        <f t="shared" si="126"/>
        <v>0</v>
      </c>
      <c r="Z275" s="1">
        <f t="shared" si="127"/>
        <v>0</v>
      </c>
      <c r="AA275" s="1">
        <f t="shared" si="128"/>
        <v>0</v>
      </c>
      <c r="AB275" s="1">
        <f t="shared" si="129"/>
        <v>0</v>
      </c>
      <c r="AD275" s="1">
        <f t="shared" si="130"/>
        <v>1</v>
      </c>
      <c r="AE275" s="1">
        <f t="shared" si="131"/>
        <v>0</v>
      </c>
      <c r="AF275" s="1">
        <f t="shared" si="116"/>
        <v>1</v>
      </c>
      <c r="AG275" s="1">
        <f t="shared" si="117"/>
        <v>0</v>
      </c>
      <c r="AH275" s="1">
        <f t="shared" si="118"/>
        <v>1</v>
      </c>
      <c r="AI275" s="1">
        <f t="shared" si="119"/>
        <v>0</v>
      </c>
    </row>
    <row r="276" spans="1:36" s="2" customFormat="1" ht="14.25" customHeight="1" x14ac:dyDescent="0.25">
      <c r="A276" s="34">
        <v>0</v>
      </c>
      <c r="B276" s="34">
        <v>2</v>
      </c>
      <c r="C276" s="34">
        <v>1</v>
      </c>
      <c r="D276" s="35" t="s">
        <v>538</v>
      </c>
      <c r="E276" s="35" t="s">
        <v>34</v>
      </c>
      <c r="F276" s="35" t="s">
        <v>539</v>
      </c>
      <c r="G276" s="35" t="s">
        <v>221</v>
      </c>
      <c r="H276" s="35" t="s">
        <v>355</v>
      </c>
      <c r="I276" s="34" t="s">
        <v>540</v>
      </c>
      <c r="J276" s="34">
        <v>8</v>
      </c>
      <c r="K276" s="36" t="s">
        <v>717</v>
      </c>
      <c r="L276" s="36" t="s">
        <v>717</v>
      </c>
      <c r="M276" s="37" t="s">
        <v>718</v>
      </c>
      <c r="N276" s="37" t="s">
        <v>1755</v>
      </c>
      <c r="O276" s="38">
        <v>1</v>
      </c>
      <c r="P276" s="38"/>
      <c r="Q276" s="35"/>
      <c r="R276" s="1"/>
      <c r="S276" s="1">
        <f t="shared" si="120"/>
        <v>0</v>
      </c>
      <c r="T276" s="1">
        <f t="shared" si="121"/>
        <v>0</v>
      </c>
      <c r="U276" s="1">
        <f t="shared" si="122"/>
        <v>0</v>
      </c>
      <c r="V276" s="1">
        <f t="shared" si="123"/>
        <v>0</v>
      </c>
      <c r="W276" s="1">
        <f t="shared" si="124"/>
        <v>0</v>
      </c>
      <c r="X276" s="1">
        <f t="shared" si="125"/>
        <v>0</v>
      </c>
      <c r="Y276" s="1">
        <f t="shared" si="126"/>
        <v>0</v>
      </c>
      <c r="Z276" s="1">
        <f t="shared" si="127"/>
        <v>1</v>
      </c>
      <c r="AA276" s="1">
        <f t="shared" si="128"/>
        <v>0</v>
      </c>
      <c r="AB276" s="1">
        <f t="shared" si="129"/>
        <v>0</v>
      </c>
      <c r="AC276" s="1"/>
      <c r="AD276" s="1">
        <f t="shared" si="130"/>
        <v>0</v>
      </c>
      <c r="AE276" s="1">
        <f t="shared" si="131"/>
        <v>1</v>
      </c>
      <c r="AF276" s="1">
        <f t="shared" si="116"/>
        <v>0</v>
      </c>
      <c r="AG276" s="1">
        <f t="shared" si="117"/>
        <v>1</v>
      </c>
      <c r="AH276" s="1">
        <f t="shared" si="118"/>
        <v>0</v>
      </c>
      <c r="AI276" s="1">
        <f t="shared" si="119"/>
        <v>1</v>
      </c>
      <c r="AJ276" s="1"/>
    </row>
    <row r="277" spans="1:36" s="2" customFormat="1" ht="14.25" customHeight="1" x14ac:dyDescent="0.25">
      <c r="A277" s="34">
        <v>0</v>
      </c>
      <c r="B277" s="34">
        <v>2</v>
      </c>
      <c r="C277" s="34">
        <v>1</v>
      </c>
      <c r="D277" s="35" t="s">
        <v>1297</v>
      </c>
      <c r="E277" s="35" t="s">
        <v>563</v>
      </c>
      <c r="F277" s="35" t="s">
        <v>1298</v>
      </c>
      <c r="G277" s="35" t="s">
        <v>231</v>
      </c>
      <c r="H277" s="35" t="s">
        <v>355</v>
      </c>
      <c r="I277" s="34" t="s">
        <v>1299</v>
      </c>
      <c r="J277" s="34">
        <v>7</v>
      </c>
      <c r="K277" s="36" t="s">
        <v>717</v>
      </c>
      <c r="L277" s="36" t="s">
        <v>717</v>
      </c>
      <c r="M277" s="37" t="s">
        <v>718</v>
      </c>
      <c r="N277" s="37" t="s">
        <v>1763</v>
      </c>
      <c r="O277" s="38">
        <v>1</v>
      </c>
      <c r="P277" s="38"/>
      <c r="Q277" s="35"/>
      <c r="R277" s="1"/>
      <c r="S277" s="1">
        <f t="shared" si="120"/>
        <v>0</v>
      </c>
      <c r="T277" s="1">
        <f t="shared" si="121"/>
        <v>0</v>
      </c>
      <c r="U277" s="1">
        <f t="shared" si="122"/>
        <v>0</v>
      </c>
      <c r="V277" s="1">
        <f t="shared" si="123"/>
        <v>0</v>
      </c>
      <c r="W277" s="1">
        <f t="shared" si="124"/>
        <v>0</v>
      </c>
      <c r="X277" s="1">
        <f t="shared" si="125"/>
        <v>0</v>
      </c>
      <c r="Y277" s="1">
        <f t="shared" si="126"/>
        <v>1</v>
      </c>
      <c r="Z277" s="1">
        <f t="shared" si="127"/>
        <v>0</v>
      </c>
      <c r="AA277" s="1">
        <f t="shared" si="128"/>
        <v>0</v>
      </c>
      <c r="AB277" s="1">
        <f t="shared" si="129"/>
        <v>0</v>
      </c>
      <c r="AC277" s="1"/>
      <c r="AD277" s="1">
        <f t="shared" si="130"/>
        <v>0</v>
      </c>
      <c r="AE277" s="1">
        <f t="shared" si="131"/>
        <v>1</v>
      </c>
      <c r="AF277" s="1">
        <f t="shared" si="116"/>
        <v>0</v>
      </c>
      <c r="AG277" s="1">
        <f t="shared" si="117"/>
        <v>1</v>
      </c>
      <c r="AH277" s="1">
        <f t="shared" si="118"/>
        <v>0</v>
      </c>
      <c r="AI277" s="1">
        <f t="shared" si="119"/>
        <v>1</v>
      </c>
      <c r="AJ277" s="1"/>
    </row>
    <row r="278" spans="1:36" ht="14.25" customHeight="1" x14ac:dyDescent="0.25">
      <c r="A278" s="34">
        <v>0</v>
      </c>
      <c r="B278" s="34">
        <v>2</v>
      </c>
      <c r="C278" s="34">
        <v>1</v>
      </c>
      <c r="D278" s="35" t="s">
        <v>1333</v>
      </c>
      <c r="E278" s="35" t="s">
        <v>563</v>
      </c>
      <c r="F278" s="35" t="s">
        <v>1995</v>
      </c>
      <c r="G278" s="35" t="s">
        <v>214</v>
      </c>
      <c r="H278" s="35" t="s">
        <v>355</v>
      </c>
      <c r="I278" s="34" t="s">
        <v>1162</v>
      </c>
      <c r="J278" s="34">
        <v>1</v>
      </c>
      <c r="K278" s="36" t="s">
        <v>958</v>
      </c>
      <c r="L278" s="36" t="s">
        <v>717</v>
      </c>
      <c r="M278" s="37" t="s">
        <v>718</v>
      </c>
      <c r="N278" s="37" t="s">
        <v>1768</v>
      </c>
      <c r="O278" s="38">
        <v>1</v>
      </c>
      <c r="P278" s="38"/>
      <c r="Q278" s="35"/>
      <c r="S278" s="1">
        <f t="shared" si="120"/>
        <v>1</v>
      </c>
      <c r="T278" s="1">
        <f t="shared" si="121"/>
        <v>0</v>
      </c>
      <c r="U278" s="1">
        <f t="shared" si="122"/>
        <v>0</v>
      </c>
      <c r="V278" s="1">
        <f t="shared" si="123"/>
        <v>0</v>
      </c>
      <c r="W278" s="1">
        <f t="shared" si="124"/>
        <v>0</v>
      </c>
      <c r="X278" s="1">
        <f t="shared" si="125"/>
        <v>0</v>
      </c>
      <c r="Y278" s="1">
        <f t="shared" si="126"/>
        <v>0</v>
      </c>
      <c r="Z278" s="1">
        <f t="shared" si="127"/>
        <v>0</v>
      </c>
      <c r="AA278" s="1">
        <f t="shared" si="128"/>
        <v>0</v>
      </c>
      <c r="AB278" s="1">
        <f t="shared" si="129"/>
        <v>0</v>
      </c>
      <c r="AD278" s="1">
        <f t="shared" si="130"/>
        <v>0</v>
      </c>
      <c r="AE278" s="1">
        <f t="shared" si="131"/>
        <v>1</v>
      </c>
      <c r="AF278" s="1">
        <f t="shared" si="116"/>
        <v>0</v>
      </c>
      <c r="AG278" s="1">
        <f t="shared" si="117"/>
        <v>1</v>
      </c>
      <c r="AH278" s="1">
        <f t="shared" si="118"/>
        <v>0</v>
      </c>
      <c r="AI278" s="1">
        <f t="shared" si="119"/>
        <v>1</v>
      </c>
    </row>
    <row r="279" spans="1:36" ht="14.25" customHeight="1" x14ac:dyDescent="0.25">
      <c r="A279" s="34">
        <v>0</v>
      </c>
      <c r="B279" s="34">
        <v>2</v>
      </c>
      <c r="C279" s="34">
        <v>1</v>
      </c>
      <c r="D279" s="35" t="s">
        <v>1334</v>
      </c>
      <c r="E279" s="35" t="s">
        <v>563</v>
      </c>
      <c r="F279" s="35" t="s">
        <v>1157</v>
      </c>
      <c r="G279" s="35" t="s">
        <v>286</v>
      </c>
      <c r="H279" s="35" t="s">
        <v>355</v>
      </c>
      <c r="I279" s="34" t="s">
        <v>1158</v>
      </c>
      <c r="J279" s="34">
        <v>10</v>
      </c>
      <c r="K279" s="36" t="s">
        <v>958</v>
      </c>
      <c r="L279" s="36" t="s">
        <v>717</v>
      </c>
      <c r="M279" s="37" t="s">
        <v>718</v>
      </c>
      <c r="N279" s="37" t="s">
        <v>1768</v>
      </c>
      <c r="O279" s="38">
        <v>1</v>
      </c>
      <c r="P279" s="38"/>
      <c r="Q279" s="35"/>
      <c r="S279" s="1">
        <f t="shared" si="120"/>
        <v>0</v>
      </c>
      <c r="T279" s="1">
        <f t="shared" si="121"/>
        <v>0</v>
      </c>
      <c r="U279" s="1">
        <f t="shared" si="122"/>
        <v>0</v>
      </c>
      <c r="V279" s="1">
        <f t="shared" si="123"/>
        <v>0</v>
      </c>
      <c r="W279" s="1">
        <f t="shared" si="124"/>
        <v>0</v>
      </c>
      <c r="X279" s="1">
        <f t="shared" si="125"/>
        <v>0</v>
      </c>
      <c r="Y279" s="1">
        <f t="shared" si="126"/>
        <v>0</v>
      </c>
      <c r="Z279" s="1">
        <f t="shared" si="127"/>
        <v>0</v>
      </c>
      <c r="AA279" s="1">
        <f t="shared" si="128"/>
        <v>0</v>
      </c>
      <c r="AB279" s="1">
        <f t="shared" si="129"/>
        <v>1</v>
      </c>
      <c r="AD279" s="1">
        <f t="shared" si="130"/>
        <v>0</v>
      </c>
      <c r="AE279" s="1">
        <f t="shared" si="131"/>
        <v>1</v>
      </c>
      <c r="AF279" s="1">
        <f t="shared" si="116"/>
        <v>0</v>
      </c>
      <c r="AG279" s="1">
        <f t="shared" si="117"/>
        <v>1</v>
      </c>
      <c r="AH279" s="1">
        <f t="shared" si="118"/>
        <v>0</v>
      </c>
      <c r="AI279" s="1">
        <f t="shared" si="119"/>
        <v>1</v>
      </c>
    </row>
    <row r="280" spans="1:36" ht="14.25" customHeight="1" x14ac:dyDescent="0.25">
      <c r="A280" s="15">
        <v>0</v>
      </c>
      <c r="B280" s="15">
        <v>2</v>
      </c>
      <c r="C280" s="15">
        <v>1</v>
      </c>
      <c r="D280" s="16" t="s">
        <v>514</v>
      </c>
      <c r="E280" s="16" t="s">
        <v>34</v>
      </c>
      <c r="F280" s="16" t="s">
        <v>513</v>
      </c>
      <c r="G280" s="16" t="s">
        <v>548</v>
      </c>
      <c r="H280" s="16" t="s">
        <v>355</v>
      </c>
      <c r="I280" s="15" t="s">
        <v>1371</v>
      </c>
      <c r="J280" s="15">
        <v>99</v>
      </c>
      <c r="K280" s="10" t="s">
        <v>959</v>
      </c>
      <c r="L280" s="10" t="s">
        <v>717</v>
      </c>
      <c r="M280" s="19" t="s">
        <v>718</v>
      </c>
      <c r="N280" s="19"/>
      <c r="Q280" s="16"/>
      <c r="S280" s="1">
        <f t="shared" si="120"/>
        <v>0</v>
      </c>
      <c r="T280" s="1">
        <f t="shared" si="121"/>
        <v>0</v>
      </c>
      <c r="U280" s="1">
        <f t="shared" si="122"/>
        <v>0</v>
      </c>
      <c r="V280" s="1">
        <f t="shared" si="123"/>
        <v>0</v>
      </c>
      <c r="W280" s="1">
        <f t="shared" si="124"/>
        <v>0</v>
      </c>
      <c r="X280" s="1">
        <f t="shared" si="125"/>
        <v>0</v>
      </c>
      <c r="Y280" s="1">
        <f t="shared" si="126"/>
        <v>0</v>
      </c>
      <c r="Z280" s="1">
        <f t="shared" si="127"/>
        <v>0</v>
      </c>
      <c r="AA280" s="1">
        <f t="shared" si="128"/>
        <v>0</v>
      </c>
      <c r="AB280" s="1">
        <f t="shared" si="129"/>
        <v>0</v>
      </c>
      <c r="AD280" s="1">
        <f t="shared" si="130"/>
        <v>0</v>
      </c>
      <c r="AE280" s="1">
        <f t="shared" si="131"/>
        <v>0</v>
      </c>
      <c r="AF280" s="1">
        <f t="shared" si="116"/>
        <v>0</v>
      </c>
      <c r="AG280" s="1">
        <f t="shared" si="117"/>
        <v>0</v>
      </c>
      <c r="AH280" s="1">
        <f t="shared" si="118"/>
        <v>0</v>
      </c>
      <c r="AI280" s="1">
        <f t="shared" si="119"/>
        <v>1</v>
      </c>
    </row>
    <row r="281" spans="1:36" ht="14.25" customHeight="1" x14ac:dyDescent="0.25">
      <c r="A281" s="41">
        <v>0</v>
      </c>
      <c r="B281" s="41">
        <v>2</v>
      </c>
      <c r="C281" s="41">
        <v>1</v>
      </c>
      <c r="D281" s="42" t="s">
        <v>1046</v>
      </c>
      <c r="E281" s="42" t="s">
        <v>36</v>
      </c>
      <c r="F281" s="42" t="s">
        <v>1666</v>
      </c>
      <c r="G281" s="42" t="s">
        <v>630</v>
      </c>
      <c r="H281" s="42" t="s">
        <v>355</v>
      </c>
      <c r="I281" s="41" t="s">
        <v>1047</v>
      </c>
      <c r="J281" s="41">
        <v>99</v>
      </c>
      <c r="K281" s="43" t="s">
        <v>963</v>
      </c>
      <c r="L281" s="43" t="s">
        <v>717</v>
      </c>
      <c r="M281" s="44" t="s">
        <v>718</v>
      </c>
      <c r="N281" s="45"/>
      <c r="O281" s="46"/>
      <c r="P281" s="46">
        <v>1</v>
      </c>
      <c r="Q281" s="57" t="s">
        <v>1906</v>
      </c>
      <c r="S281" s="1">
        <f t="shared" si="120"/>
        <v>0</v>
      </c>
      <c r="T281" s="1">
        <f t="shared" si="121"/>
        <v>0</v>
      </c>
      <c r="U281" s="1">
        <f t="shared" si="122"/>
        <v>0</v>
      </c>
      <c r="V281" s="1">
        <f t="shared" si="123"/>
        <v>0</v>
      </c>
      <c r="W281" s="1">
        <f t="shared" si="124"/>
        <v>0</v>
      </c>
      <c r="X281" s="1">
        <f t="shared" si="125"/>
        <v>0</v>
      </c>
      <c r="Y281" s="1">
        <f t="shared" si="126"/>
        <v>0</v>
      </c>
      <c r="Z281" s="1">
        <f t="shared" si="127"/>
        <v>0</v>
      </c>
      <c r="AA281" s="1">
        <f t="shared" si="128"/>
        <v>0</v>
      </c>
      <c r="AB281" s="1">
        <f t="shared" si="129"/>
        <v>0</v>
      </c>
      <c r="AD281" s="1">
        <f t="shared" si="130"/>
        <v>0</v>
      </c>
      <c r="AE281" s="1">
        <f t="shared" si="131"/>
        <v>0</v>
      </c>
      <c r="AF281" s="1">
        <f t="shared" si="116"/>
        <v>0</v>
      </c>
      <c r="AG281" s="1">
        <f t="shared" si="117"/>
        <v>0</v>
      </c>
      <c r="AH281" s="1">
        <f t="shared" si="118"/>
        <v>1</v>
      </c>
      <c r="AI281" s="1">
        <f t="shared" si="119"/>
        <v>0</v>
      </c>
    </row>
    <row r="282" spans="1:36" ht="14.25" customHeight="1" x14ac:dyDescent="0.25">
      <c r="A282" s="34">
        <v>1</v>
      </c>
      <c r="B282" s="34">
        <v>2</v>
      </c>
      <c r="C282" s="34">
        <v>1</v>
      </c>
      <c r="D282" s="35" t="s">
        <v>49</v>
      </c>
      <c r="E282" s="35" t="s">
        <v>1321</v>
      </c>
      <c r="F282" s="35" t="s">
        <v>192</v>
      </c>
      <c r="G282" s="35" t="s">
        <v>193</v>
      </c>
      <c r="H282" s="35" t="s">
        <v>355</v>
      </c>
      <c r="I282" s="34" t="s">
        <v>387</v>
      </c>
      <c r="J282" s="34">
        <v>99</v>
      </c>
      <c r="K282" s="36" t="s">
        <v>716</v>
      </c>
      <c r="L282" s="36" t="s">
        <v>717</v>
      </c>
      <c r="M282" s="37" t="s">
        <v>718</v>
      </c>
      <c r="N282" s="37" t="s">
        <v>1763</v>
      </c>
      <c r="O282" s="38">
        <v>1</v>
      </c>
      <c r="P282" s="38"/>
      <c r="Q282" s="35"/>
      <c r="S282" s="1">
        <f t="shared" si="120"/>
        <v>0</v>
      </c>
      <c r="T282" s="1">
        <f t="shared" si="121"/>
        <v>0</v>
      </c>
      <c r="U282" s="1">
        <f t="shared" si="122"/>
        <v>0</v>
      </c>
      <c r="V282" s="1">
        <f t="shared" si="123"/>
        <v>0</v>
      </c>
      <c r="W282" s="1">
        <f t="shared" si="124"/>
        <v>0</v>
      </c>
      <c r="X282" s="1">
        <f t="shared" si="125"/>
        <v>0</v>
      </c>
      <c r="Y282" s="1">
        <f t="shared" si="126"/>
        <v>0</v>
      </c>
      <c r="Z282" s="1">
        <f t="shared" si="127"/>
        <v>0</v>
      </c>
      <c r="AA282" s="1">
        <f t="shared" si="128"/>
        <v>0</v>
      </c>
      <c r="AB282" s="1">
        <f t="shared" si="129"/>
        <v>0</v>
      </c>
      <c r="AD282" s="1">
        <f t="shared" si="130"/>
        <v>0</v>
      </c>
      <c r="AE282" s="1">
        <f t="shared" si="131"/>
        <v>1</v>
      </c>
      <c r="AF282" s="1">
        <f t="shared" si="116"/>
        <v>0</v>
      </c>
      <c r="AG282" s="1">
        <f t="shared" si="117"/>
        <v>0</v>
      </c>
      <c r="AH282" s="1">
        <f t="shared" si="118"/>
        <v>0</v>
      </c>
      <c r="AI282" s="1">
        <f t="shared" si="119"/>
        <v>0</v>
      </c>
    </row>
    <row r="283" spans="1:36" ht="14.25" customHeight="1" x14ac:dyDescent="0.25">
      <c r="A283" s="34">
        <v>0</v>
      </c>
      <c r="B283" s="34">
        <v>2</v>
      </c>
      <c r="C283" s="34">
        <v>1</v>
      </c>
      <c r="D283" s="35" t="s">
        <v>1078</v>
      </c>
      <c r="E283" s="35" t="s">
        <v>1321</v>
      </c>
      <c r="F283" s="35" t="s">
        <v>1093</v>
      </c>
      <c r="G283" s="35" t="s">
        <v>203</v>
      </c>
      <c r="H283" s="35" t="s">
        <v>355</v>
      </c>
      <c r="I283" s="34" t="s">
        <v>387</v>
      </c>
      <c r="J283" s="34">
        <v>10</v>
      </c>
      <c r="K283" s="36" t="s">
        <v>716</v>
      </c>
      <c r="L283" s="36" t="s">
        <v>717</v>
      </c>
      <c r="M283" s="37" t="s">
        <v>718</v>
      </c>
      <c r="N283" s="37" t="s">
        <v>1763</v>
      </c>
      <c r="O283" s="38">
        <v>1</v>
      </c>
      <c r="P283" s="38"/>
      <c r="Q283" s="35"/>
      <c r="S283" s="1">
        <f t="shared" si="120"/>
        <v>0</v>
      </c>
      <c r="T283" s="1">
        <f t="shared" si="121"/>
        <v>0</v>
      </c>
      <c r="U283" s="1">
        <f t="shared" si="122"/>
        <v>0</v>
      </c>
      <c r="V283" s="1">
        <f t="shared" si="123"/>
        <v>0</v>
      </c>
      <c r="W283" s="1">
        <f t="shared" si="124"/>
        <v>0</v>
      </c>
      <c r="X283" s="1">
        <f t="shared" si="125"/>
        <v>0</v>
      </c>
      <c r="Y283" s="1">
        <f t="shared" si="126"/>
        <v>0</v>
      </c>
      <c r="Z283" s="1">
        <f t="shared" si="127"/>
        <v>0</v>
      </c>
      <c r="AA283" s="1">
        <f t="shared" si="128"/>
        <v>0</v>
      </c>
      <c r="AB283" s="1">
        <f t="shared" si="129"/>
        <v>1</v>
      </c>
      <c r="AD283" s="1">
        <f t="shared" si="130"/>
        <v>0</v>
      </c>
      <c r="AE283" s="1">
        <f t="shared" si="131"/>
        <v>1</v>
      </c>
      <c r="AF283" s="1">
        <f t="shared" si="116"/>
        <v>0</v>
      </c>
      <c r="AG283" s="1">
        <f t="shared" si="117"/>
        <v>1</v>
      </c>
      <c r="AH283" s="1">
        <f t="shared" si="118"/>
        <v>0</v>
      </c>
      <c r="AI283" s="1">
        <f t="shared" si="119"/>
        <v>1</v>
      </c>
    </row>
    <row r="284" spans="1:36" ht="14.25" customHeight="1" x14ac:dyDescent="0.25">
      <c r="A284" s="34">
        <v>0</v>
      </c>
      <c r="B284" s="34">
        <v>2</v>
      </c>
      <c r="C284" s="34">
        <v>1</v>
      </c>
      <c r="D284" s="35" t="s">
        <v>1280</v>
      </c>
      <c r="E284" s="35" t="s">
        <v>563</v>
      </c>
      <c r="F284" s="35" t="s">
        <v>1281</v>
      </c>
      <c r="G284" s="35" t="s">
        <v>259</v>
      </c>
      <c r="H284" s="35" t="s">
        <v>355</v>
      </c>
      <c r="I284" s="34" t="s">
        <v>1282</v>
      </c>
      <c r="J284" s="34">
        <v>8</v>
      </c>
      <c r="K284" s="36" t="s">
        <v>958</v>
      </c>
      <c r="L284" s="36" t="s">
        <v>717</v>
      </c>
      <c r="M284" s="37" t="s">
        <v>718</v>
      </c>
      <c r="N284" s="37" t="s">
        <v>1755</v>
      </c>
      <c r="O284" s="38">
        <v>1</v>
      </c>
      <c r="P284" s="38"/>
      <c r="Q284" s="35"/>
      <c r="S284" s="1">
        <f t="shared" si="120"/>
        <v>0</v>
      </c>
      <c r="T284" s="1">
        <f t="shared" si="121"/>
        <v>0</v>
      </c>
      <c r="U284" s="1">
        <f t="shared" si="122"/>
        <v>0</v>
      </c>
      <c r="V284" s="1">
        <f t="shared" si="123"/>
        <v>0</v>
      </c>
      <c r="W284" s="1">
        <f t="shared" si="124"/>
        <v>0</v>
      </c>
      <c r="X284" s="1">
        <f t="shared" si="125"/>
        <v>0</v>
      </c>
      <c r="Y284" s="1">
        <f t="shared" si="126"/>
        <v>0</v>
      </c>
      <c r="Z284" s="1">
        <f t="shared" si="127"/>
        <v>1</v>
      </c>
      <c r="AA284" s="1">
        <f t="shared" si="128"/>
        <v>0</v>
      </c>
      <c r="AB284" s="1">
        <f t="shared" si="129"/>
        <v>0</v>
      </c>
      <c r="AD284" s="1">
        <f t="shared" si="130"/>
        <v>0</v>
      </c>
      <c r="AE284" s="1">
        <f t="shared" si="131"/>
        <v>1</v>
      </c>
      <c r="AF284" s="1">
        <f t="shared" si="116"/>
        <v>0</v>
      </c>
      <c r="AG284" s="1">
        <f t="shared" si="117"/>
        <v>1</v>
      </c>
      <c r="AH284" s="1">
        <f t="shared" si="118"/>
        <v>0</v>
      </c>
      <c r="AI284" s="1">
        <f t="shared" si="119"/>
        <v>1</v>
      </c>
    </row>
    <row r="285" spans="1:36" ht="14.25" customHeight="1" x14ac:dyDescent="0.25">
      <c r="A285" s="47">
        <v>0</v>
      </c>
      <c r="B285" s="47">
        <v>2</v>
      </c>
      <c r="C285" s="47">
        <v>1</v>
      </c>
      <c r="D285" s="48" t="s">
        <v>48</v>
      </c>
      <c r="E285" s="48" t="s">
        <v>580</v>
      </c>
      <c r="F285" s="48" t="s">
        <v>190</v>
      </c>
      <c r="G285" s="48" t="s">
        <v>301</v>
      </c>
      <c r="H285" s="48" t="s">
        <v>355</v>
      </c>
      <c r="I285" s="47" t="s">
        <v>386</v>
      </c>
      <c r="J285" s="47">
        <v>99</v>
      </c>
      <c r="K285" s="49" t="s">
        <v>717</v>
      </c>
      <c r="L285" s="49" t="s">
        <v>717</v>
      </c>
      <c r="M285" s="50" t="s">
        <v>718</v>
      </c>
      <c r="N285" s="50" t="s">
        <v>1754</v>
      </c>
      <c r="O285" s="51"/>
      <c r="P285" s="51"/>
      <c r="Q285" s="48"/>
      <c r="S285" s="1">
        <f t="shared" si="120"/>
        <v>0</v>
      </c>
      <c r="T285" s="1">
        <f t="shared" si="121"/>
        <v>0</v>
      </c>
      <c r="U285" s="1">
        <f t="shared" si="122"/>
        <v>0</v>
      </c>
      <c r="V285" s="1">
        <f t="shared" si="123"/>
        <v>0</v>
      </c>
      <c r="W285" s="1">
        <f t="shared" si="124"/>
        <v>0</v>
      </c>
      <c r="X285" s="1">
        <f t="shared" si="125"/>
        <v>0</v>
      </c>
      <c r="Y285" s="1">
        <f t="shared" si="126"/>
        <v>0</v>
      </c>
      <c r="Z285" s="1">
        <f t="shared" si="127"/>
        <v>0</v>
      </c>
      <c r="AA285" s="1">
        <f t="shared" si="128"/>
        <v>0</v>
      </c>
      <c r="AB285" s="1">
        <f t="shared" si="129"/>
        <v>0</v>
      </c>
      <c r="AD285" s="1">
        <f t="shared" si="130"/>
        <v>0</v>
      </c>
      <c r="AE285" s="1">
        <f t="shared" si="131"/>
        <v>0</v>
      </c>
      <c r="AF285" s="1">
        <f t="shared" si="116"/>
        <v>0</v>
      </c>
      <c r="AG285" s="1">
        <f t="shared" si="117"/>
        <v>0</v>
      </c>
      <c r="AH285" s="1">
        <f t="shared" si="118"/>
        <v>0</v>
      </c>
      <c r="AI285" s="1">
        <f t="shared" si="119"/>
        <v>1</v>
      </c>
    </row>
    <row r="286" spans="1:36" ht="14.25" customHeight="1" x14ac:dyDescent="0.25">
      <c r="A286" s="15">
        <v>0</v>
      </c>
      <c r="B286" s="15">
        <v>2</v>
      </c>
      <c r="C286" s="15">
        <v>1</v>
      </c>
      <c r="D286" s="16" t="s">
        <v>57</v>
      </c>
      <c r="E286" s="16" t="s">
        <v>163</v>
      </c>
      <c r="F286" s="16" t="s">
        <v>669</v>
      </c>
      <c r="G286" s="16" t="s">
        <v>222</v>
      </c>
      <c r="H286" s="16" t="s">
        <v>355</v>
      </c>
      <c r="I286" s="15" t="s">
        <v>397</v>
      </c>
      <c r="J286" s="15">
        <v>99</v>
      </c>
      <c r="K286" s="10" t="s">
        <v>965</v>
      </c>
      <c r="L286" s="10" t="s">
        <v>717</v>
      </c>
      <c r="M286" s="19" t="s">
        <v>718</v>
      </c>
      <c r="N286" s="19"/>
      <c r="Q286" s="16"/>
      <c r="S286" s="1">
        <f t="shared" si="120"/>
        <v>0</v>
      </c>
      <c r="T286" s="1">
        <f t="shared" si="121"/>
        <v>0</v>
      </c>
      <c r="U286" s="1">
        <f t="shared" si="122"/>
        <v>0</v>
      </c>
      <c r="V286" s="1">
        <f t="shared" si="123"/>
        <v>0</v>
      </c>
      <c r="W286" s="1">
        <f t="shared" si="124"/>
        <v>0</v>
      </c>
      <c r="X286" s="1">
        <f t="shared" si="125"/>
        <v>0</v>
      </c>
      <c r="Y286" s="1">
        <f t="shared" si="126"/>
        <v>0</v>
      </c>
      <c r="Z286" s="1">
        <f t="shared" si="127"/>
        <v>0</v>
      </c>
      <c r="AA286" s="1">
        <f t="shared" si="128"/>
        <v>0</v>
      </c>
      <c r="AB286" s="1">
        <f t="shared" si="129"/>
        <v>0</v>
      </c>
      <c r="AD286" s="1">
        <f t="shared" si="130"/>
        <v>0</v>
      </c>
      <c r="AE286" s="1">
        <f t="shared" si="131"/>
        <v>0</v>
      </c>
      <c r="AF286" s="1">
        <f t="shared" si="116"/>
        <v>0</v>
      </c>
      <c r="AG286" s="1">
        <f t="shared" si="117"/>
        <v>0</v>
      </c>
      <c r="AH286" s="1">
        <f t="shared" si="118"/>
        <v>0</v>
      </c>
      <c r="AI286" s="1">
        <f t="shared" si="119"/>
        <v>1</v>
      </c>
    </row>
    <row r="287" spans="1:36" ht="14.25" customHeight="1" x14ac:dyDescent="0.25">
      <c r="A287" s="34">
        <v>0</v>
      </c>
      <c r="B287" s="34">
        <v>2</v>
      </c>
      <c r="C287" s="34">
        <v>1</v>
      </c>
      <c r="D287" s="35" t="s">
        <v>517</v>
      </c>
      <c r="E287" s="35" t="s">
        <v>563</v>
      </c>
      <c r="F287" s="35" t="s">
        <v>230</v>
      </c>
      <c r="G287" s="35" t="s">
        <v>231</v>
      </c>
      <c r="H287" s="35" t="s">
        <v>355</v>
      </c>
      <c r="I287" s="34" t="s">
        <v>401</v>
      </c>
      <c r="J287" s="34">
        <v>7</v>
      </c>
      <c r="K287" s="36" t="s">
        <v>958</v>
      </c>
      <c r="L287" s="36" t="s">
        <v>717</v>
      </c>
      <c r="M287" s="37" t="s">
        <v>718</v>
      </c>
      <c r="N287" s="37" t="s">
        <v>1756</v>
      </c>
      <c r="O287" s="38">
        <v>1</v>
      </c>
      <c r="P287" s="38"/>
      <c r="Q287" s="35"/>
      <c r="S287" s="1">
        <f t="shared" si="120"/>
        <v>0</v>
      </c>
      <c r="T287" s="1">
        <f t="shared" si="121"/>
        <v>0</v>
      </c>
      <c r="U287" s="1">
        <f t="shared" si="122"/>
        <v>0</v>
      </c>
      <c r="V287" s="1">
        <f t="shared" si="123"/>
        <v>0</v>
      </c>
      <c r="W287" s="1">
        <f t="shared" si="124"/>
        <v>0</v>
      </c>
      <c r="X287" s="1">
        <f t="shared" si="125"/>
        <v>0</v>
      </c>
      <c r="Y287" s="1">
        <f t="shared" si="126"/>
        <v>1</v>
      </c>
      <c r="Z287" s="1">
        <f t="shared" si="127"/>
        <v>0</v>
      </c>
      <c r="AA287" s="1">
        <f t="shared" si="128"/>
        <v>0</v>
      </c>
      <c r="AB287" s="1">
        <f t="shared" si="129"/>
        <v>0</v>
      </c>
      <c r="AD287" s="1">
        <f t="shared" si="130"/>
        <v>0</v>
      </c>
      <c r="AE287" s="1">
        <f t="shared" si="131"/>
        <v>1</v>
      </c>
      <c r="AF287" s="1">
        <f t="shared" si="116"/>
        <v>0</v>
      </c>
      <c r="AG287" s="1">
        <f t="shared" si="117"/>
        <v>1</v>
      </c>
      <c r="AH287" s="1">
        <f t="shared" si="118"/>
        <v>0</v>
      </c>
      <c r="AI287" s="1">
        <f t="shared" si="119"/>
        <v>1</v>
      </c>
    </row>
    <row r="288" spans="1:36" ht="14.25" customHeight="1" x14ac:dyDescent="0.25">
      <c r="A288" s="47">
        <v>0</v>
      </c>
      <c r="B288" s="47">
        <v>2</v>
      </c>
      <c r="C288" s="47">
        <v>1</v>
      </c>
      <c r="D288" s="48" t="s">
        <v>562</v>
      </c>
      <c r="E288" s="48" t="s">
        <v>563</v>
      </c>
      <c r="F288" s="48" t="s">
        <v>564</v>
      </c>
      <c r="G288" s="48" t="s">
        <v>209</v>
      </c>
      <c r="H288" s="48" t="s">
        <v>355</v>
      </c>
      <c r="I288" s="47" t="s">
        <v>565</v>
      </c>
      <c r="J288" s="47">
        <v>3</v>
      </c>
      <c r="K288" s="49" t="s">
        <v>716</v>
      </c>
      <c r="L288" s="49" t="s">
        <v>717</v>
      </c>
      <c r="M288" s="50" t="s">
        <v>718</v>
      </c>
      <c r="N288" s="50" t="s">
        <v>1754</v>
      </c>
      <c r="O288" s="51"/>
      <c r="P288" s="51"/>
      <c r="Q288" s="48"/>
      <c r="S288" s="1">
        <f t="shared" si="120"/>
        <v>0</v>
      </c>
      <c r="T288" s="1">
        <f t="shared" si="121"/>
        <v>0</v>
      </c>
      <c r="U288" s="1">
        <f t="shared" si="122"/>
        <v>1</v>
      </c>
      <c r="V288" s="1">
        <f t="shared" si="123"/>
        <v>0</v>
      </c>
      <c r="W288" s="1">
        <f t="shared" si="124"/>
        <v>0</v>
      </c>
      <c r="X288" s="1">
        <f t="shared" si="125"/>
        <v>0</v>
      </c>
      <c r="Y288" s="1">
        <f t="shared" si="126"/>
        <v>0</v>
      </c>
      <c r="Z288" s="1">
        <f t="shared" si="127"/>
        <v>0</v>
      </c>
      <c r="AA288" s="1">
        <f t="shared" si="128"/>
        <v>0</v>
      </c>
      <c r="AB288" s="1">
        <f t="shared" si="129"/>
        <v>0</v>
      </c>
      <c r="AD288" s="1">
        <f t="shared" si="130"/>
        <v>0</v>
      </c>
      <c r="AE288" s="1">
        <f t="shared" si="131"/>
        <v>0</v>
      </c>
      <c r="AF288" s="1">
        <f t="shared" si="116"/>
        <v>0</v>
      </c>
      <c r="AG288" s="1">
        <f t="shared" si="117"/>
        <v>0</v>
      </c>
      <c r="AH288" s="1">
        <f t="shared" si="118"/>
        <v>0</v>
      </c>
      <c r="AI288" s="1">
        <f t="shared" si="119"/>
        <v>1</v>
      </c>
    </row>
    <row r="289" spans="1:35" ht="14.25" customHeight="1" x14ac:dyDescent="0.25">
      <c r="A289" s="40">
        <v>0</v>
      </c>
      <c r="B289" s="40">
        <v>2</v>
      </c>
      <c r="C289" s="40">
        <v>1</v>
      </c>
      <c r="D289" s="39" t="s">
        <v>1057</v>
      </c>
      <c r="E289" s="39" t="s">
        <v>32</v>
      </c>
      <c r="F289" s="39" t="s">
        <v>1284</v>
      </c>
      <c r="G289" s="39" t="s">
        <v>537</v>
      </c>
      <c r="H289" s="39" t="s">
        <v>355</v>
      </c>
      <c r="I289" s="40" t="s">
        <v>1285</v>
      </c>
      <c r="J289" s="40">
        <v>6</v>
      </c>
      <c r="K289" s="59" t="s">
        <v>717</v>
      </c>
      <c r="L289" s="36" t="s">
        <v>717</v>
      </c>
      <c r="M289" s="37" t="s">
        <v>718</v>
      </c>
      <c r="N289" s="37" t="s">
        <v>1755</v>
      </c>
      <c r="O289" s="38">
        <v>1</v>
      </c>
      <c r="P289" s="38"/>
      <c r="Q289" s="39"/>
      <c r="S289" s="1">
        <f t="shared" si="120"/>
        <v>0</v>
      </c>
      <c r="T289" s="1">
        <f t="shared" si="121"/>
        <v>0</v>
      </c>
      <c r="U289" s="1">
        <f t="shared" si="122"/>
        <v>0</v>
      </c>
      <c r="V289" s="1">
        <f t="shared" si="123"/>
        <v>0</v>
      </c>
      <c r="W289" s="1">
        <f t="shared" si="124"/>
        <v>0</v>
      </c>
      <c r="X289" s="1">
        <f t="shared" si="125"/>
        <v>1</v>
      </c>
      <c r="Y289" s="1">
        <f t="shared" si="126"/>
        <v>0</v>
      </c>
      <c r="Z289" s="1">
        <f t="shared" si="127"/>
        <v>0</v>
      </c>
      <c r="AA289" s="1">
        <f t="shared" si="128"/>
        <v>0</v>
      </c>
      <c r="AB289" s="1">
        <f t="shared" si="129"/>
        <v>0</v>
      </c>
      <c r="AD289" s="1">
        <f t="shared" si="130"/>
        <v>0</v>
      </c>
      <c r="AE289" s="1">
        <f t="shared" si="131"/>
        <v>1</v>
      </c>
      <c r="AF289" s="1">
        <f t="shared" si="116"/>
        <v>0</v>
      </c>
      <c r="AG289" s="1">
        <f t="shared" si="117"/>
        <v>1</v>
      </c>
      <c r="AH289" s="1">
        <f t="shared" si="118"/>
        <v>0</v>
      </c>
      <c r="AI289" s="1">
        <f t="shared" si="119"/>
        <v>1</v>
      </c>
    </row>
    <row r="290" spans="1:35" ht="14.25" customHeight="1" x14ac:dyDescent="0.25">
      <c r="A290" s="47">
        <v>0</v>
      </c>
      <c r="B290" s="47">
        <v>2</v>
      </c>
      <c r="C290" s="47">
        <v>1</v>
      </c>
      <c r="D290" s="48" t="s">
        <v>921</v>
      </c>
      <c r="E290" s="48" t="s">
        <v>1340</v>
      </c>
      <c r="F290" s="48" t="s">
        <v>793</v>
      </c>
      <c r="G290" s="48" t="s">
        <v>258</v>
      </c>
      <c r="H290" s="48" t="s">
        <v>355</v>
      </c>
      <c r="I290" s="47" t="s">
        <v>948</v>
      </c>
      <c r="J290" s="47">
        <v>99</v>
      </c>
      <c r="K290" s="49" t="s">
        <v>716</v>
      </c>
      <c r="L290" s="49" t="s">
        <v>717</v>
      </c>
      <c r="M290" s="50" t="s">
        <v>718</v>
      </c>
      <c r="N290" s="50" t="s">
        <v>1741</v>
      </c>
      <c r="O290" s="51"/>
      <c r="P290" s="51"/>
      <c r="Q290" s="48"/>
      <c r="S290" s="1">
        <f t="shared" si="120"/>
        <v>0</v>
      </c>
      <c r="T290" s="1">
        <f t="shared" si="121"/>
        <v>0</v>
      </c>
      <c r="U290" s="1">
        <f t="shared" si="122"/>
        <v>0</v>
      </c>
      <c r="V290" s="1">
        <f t="shared" si="123"/>
        <v>0</v>
      </c>
      <c r="W290" s="1">
        <f t="shared" si="124"/>
        <v>0</v>
      </c>
      <c r="X290" s="1">
        <f t="shared" si="125"/>
        <v>0</v>
      </c>
      <c r="Y290" s="1">
        <f t="shared" si="126"/>
        <v>0</v>
      </c>
      <c r="Z290" s="1">
        <f t="shared" si="127"/>
        <v>0</v>
      </c>
      <c r="AA290" s="1">
        <f t="shared" si="128"/>
        <v>0</v>
      </c>
      <c r="AB290" s="1">
        <f t="shared" si="129"/>
        <v>0</v>
      </c>
      <c r="AD290" s="1">
        <f t="shared" si="130"/>
        <v>0</v>
      </c>
      <c r="AE290" s="1">
        <f t="shared" si="131"/>
        <v>0</v>
      </c>
      <c r="AF290" s="1">
        <f t="shared" si="116"/>
        <v>0</v>
      </c>
      <c r="AG290" s="1">
        <f t="shared" si="117"/>
        <v>0</v>
      </c>
      <c r="AH290" s="1">
        <f t="shared" si="118"/>
        <v>0</v>
      </c>
      <c r="AI290" s="1">
        <f t="shared" si="119"/>
        <v>1</v>
      </c>
    </row>
    <row r="291" spans="1:35" ht="14.25" customHeight="1" x14ac:dyDescent="0.25">
      <c r="A291" s="40">
        <v>0</v>
      </c>
      <c r="B291" s="40">
        <v>2</v>
      </c>
      <c r="C291" s="40">
        <v>1</v>
      </c>
      <c r="D291" s="39" t="s">
        <v>1778</v>
      </c>
      <c r="E291" s="39" t="s">
        <v>1779</v>
      </c>
      <c r="F291" s="39" t="s">
        <v>1780</v>
      </c>
      <c r="G291" s="39" t="s">
        <v>181</v>
      </c>
      <c r="H291" s="39" t="s">
        <v>355</v>
      </c>
      <c r="I291" s="40" t="s">
        <v>1781</v>
      </c>
      <c r="J291" s="40"/>
      <c r="K291" s="59" t="s">
        <v>707</v>
      </c>
      <c r="L291" s="36">
        <v>4</v>
      </c>
      <c r="M291" s="37" t="s">
        <v>718</v>
      </c>
      <c r="N291" s="37" t="s">
        <v>1750</v>
      </c>
      <c r="O291" s="38">
        <v>1</v>
      </c>
      <c r="P291" s="38"/>
      <c r="Q291" s="39"/>
      <c r="S291" s="1">
        <f t="shared" si="120"/>
        <v>0</v>
      </c>
      <c r="T291" s="1">
        <f t="shared" si="121"/>
        <v>0</v>
      </c>
      <c r="U291" s="1">
        <f t="shared" si="122"/>
        <v>0</v>
      </c>
      <c r="V291" s="1">
        <f t="shared" si="123"/>
        <v>0</v>
      </c>
      <c r="W291" s="1">
        <f t="shared" si="124"/>
        <v>0</v>
      </c>
      <c r="X291" s="1">
        <f t="shared" si="125"/>
        <v>0</v>
      </c>
      <c r="Y291" s="1">
        <f t="shared" si="126"/>
        <v>0</v>
      </c>
      <c r="Z291" s="1">
        <f t="shared" si="127"/>
        <v>0</v>
      </c>
      <c r="AA291" s="1">
        <f t="shared" si="128"/>
        <v>0</v>
      </c>
      <c r="AB291" s="1">
        <f t="shared" si="129"/>
        <v>0</v>
      </c>
      <c r="AD291" s="1">
        <f t="shared" si="130"/>
        <v>0</v>
      </c>
      <c r="AE291" s="1">
        <f t="shared" si="131"/>
        <v>1</v>
      </c>
      <c r="AF291" s="1">
        <f t="shared" si="116"/>
        <v>0</v>
      </c>
      <c r="AG291" s="1">
        <f t="shared" si="117"/>
        <v>1</v>
      </c>
      <c r="AH291" s="1">
        <f t="shared" si="118"/>
        <v>0</v>
      </c>
      <c r="AI291" s="1">
        <f t="shared" si="119"/>
        <v>1</v>
      </c>
    </row>
    <row r="292" spans="1:35" ht="14.25" customHeight="1" x14ac:dyDescent="0.25">
      <c r="A292" s="34">
        <v>0</v>
      </c>
      <c r="B292" s="34">
        <v>2</v>
      </c>
      <c r="C292" s="34">
        <v>1</v>
      </c>
      <c r="D292" s="35" t="s">
        <v>621</v>
      </c>
      <c r="E292" s="35" t="s">
        <v>622</v>
      </c>
      <c r="F292" s="35" t="s">
        <v>623</v>
      </c>
      <c r="G292" s="35" t="s">
        <v>624</v>
      </c>
      <c r="H292" s="35" t="s">
        <v>355</v>
      </c>
      <c r="I292" s="34" t="s">
        <v>625</v>
      </c>
      <c r="J292" s="34">
        <v>99</v>
      </c>
      <c r="K292" s="36" t="s">
        <v>716</v>
      </c>
      <c r="L292" s="36" t="s">
        <v>717</v>
      </c>
      <c r="M292" s="37" t="s">
        <v>718</v>
      </c>
      <c r="N292" s="37" t="s">
        <v>1763</v>
      </c>
      <c r="O292" s="38">
        <v>1</v>
      </c>
      <c r="P292" s="38"/>
      <c r="Q292" s="35"/>
      <c r="S292" s="1">
        <f t="shared" si="120"/>
        <v>0</v>
      </c>
      <c r="T292" s="1">
        <f t="shared" si="121"/>
        <v>0</v>
      </c>
      <c r="U292" s="1">
        <f t="shared" si="122"/>
        <v>0</v>
      </c>
      <c r="V292" s="1">
        <f t="shared" si="123"/>
        <v>0</v>
      </c>
      <c r="W292" s="1">
        <f t="shared" si="124"/>
        <v>0</v>
      </c>
      <c r="X292" s="1">
        <f t="shared" si="125"/>
        <v>0</v>
      </c>
      <c r="Y292" s="1">
        <f t="shared" si="126"/>
        <v>0</v>
      </c>
      <c r="Z292" s="1">
        <f t="shared" si="127"/>
        <v>0</v>
      </c>
      <c r="AA292" s="1">
        <f t="shared" si="128"/>
        <v>0</v>
      </c>
      <c r="AB292" s="1">
        <f t="shared" si="129"/>
        <v>0</v>
      </c>
      <c r="AD292" s="1">
        <f t="shared" si="130"/>
        <v>0</v>
      </c>
      <c r="AE292" s="1">
        <f t="shared" si="131"/>
        <v>1</v>
      </c>
      <c r="AF292" s="1">
        <f t="shared" si="116"/>
        <v>0</v>
      </c>
      <c r="AG292" s="1">
        <f t="shared" si="117"/>
        <v>1</v>
      </c>
      <c r="AH292" s="1">
        <f t="shared" si="118"/>
        <v>0</v>
      </c>
      <c r="AI292" s="1">
        <f t="shared" si="119"/>
        <v>1</v>
      </c>
    </row>
    <row r="293" spans="1:35" ht="14.25" customHeight="1" x14ac:dyDescent="0.25">
      <c r="A293" s="47">
        <v>0</v>
      </c>
      <c r="B293" s="47">
        <v>2</v>
      </c>
      <c r="C293" s="47">
        <v>1</v>
      </c>
      <c r="D293" s="48" t="s">
        <v>1084</v>
      </c>
      <c r="E293" s="48" t="s">
        <v>1341</v>
      </c>
      <c r="F293" s="48" t="s">
        <v>1670</v>
      </c>
      <c r="G293" s="48" t="s">
        <v>191</v>
      </c>
      <c r="H293" s="48" t="s">
        <v>355</v>
      </c>
      <c r="I293" s="67" t="s">
        <v>1868</v>
      </c>
      <c r="J293" s="47">
        <v>99</v>
      </c>
      <c r="K293" s="49" t="s">
        <v>716</v>
      </c>
      <c r="L293" s="49" t="s">
        <v>717</v>
      </c>
      <c r="M293" s="50" t="s">
        <v>718</v>
      </c>
      <c r="N293" s="50" t="s">
        <v>1742</v>
      </c>
      <c r="O293" s="51"/>
      <c r="P293" s="51"/>
      <c r="Q293" s="48"/>
      <c r="S293" s="1">
        <f t="shared" si="120"/>
        <v>0</v>
      </c>
      <c r="T293" s="1">
        <f t="shared" si="121"/>
        <v>0</v>
      </c>
      <c r="U293" s="1">
        <f t="shared" si="122"/>
        <v>0</v>
      </c>
      <c r="V293" s="1">
        <f t="shared" si="123"/>
        <v>0</v>
      </c>
      <c r="W293" s="1">
        <f t="shared" si="124"/>
        <v>0</v>
      </c>
      <c r="X293" s="1">
        <f t="shared" si="125"/>
        <v>0</v>
      </c>
      <c r="Y293" s="1">
        <f t="shared" si="126"/>
        <v>0</v>
      </c>
      <c r="Z293" s="1">
        <f t="shared" si="127"/>
        <v>0</v>
      </c>
      <c r="AA293" s="1">
        <f t="shared" si="128"/>
        <v>0</v>
      </c>
      <c r="AB293" s="1">
        <f t="shared" si="129"/>
        <v>0</v>
      </c>
      <c r="AD293" s="1">
        <f t="shared" si="130"/>
        <v>0</v>
      </c>
      <c r="AE293" s="1">
        <f t="shared" si="131"/>
        <v>0</v>
      </c>
      <c r="AF293" s="1">
        <f t="shared" si="116"/>
        <v>0</v>
      </c>
      <c r="AG293" s="1">
        <f t="shared" si="117"/>
        <v>0</v>
      </c>
      <c r="AH293" s="1">
        <f t="shared" si="118"/>
        <v>0</v>
      </c>
      <c r="AI293" s="1">
        <f t="shared" si="119"/>
        <v>1</v>
      </c>
    </row>
    <row r="294" spans="1:35" ht="14.25" customHeight="1" x14ac:dyDescent="0.25">
      <c r="A294" s="15">
        <v>0</v>
      </c>
      <c r="B294" s="15">
        <v>2</v>
      </c>
      <c r="C294" s="15">
        <v>1</v>
      </c>
      <c r="D294" s="16" t="s">
        <v>653</v>
      </c>
      <c r="E294" s="16" t="s">
        <v>36</v>
      </c>
      <c r="F294" s="16" t="s">
        <v>670</v>
      </c>
      <c r="G294" s="16" t="s">
        <v>202</v>
      </c>
      <c r="H294" s="16" t="s">
        <v>355</v>
      </c>
      <c r="I294" s="15" t="s">
        <v>1009</v>
      </c>
      <c r="J294" s="15">
        <v>99</v>
      </c>
      <c r="K294" s="10" t="s">
        <v>707</v>
      </c>
      <c r="L294" s="10">
        <v>4</v>
      </c>
      <c r="M294" s="19" t="s">
        <v>718</v>
      </c>
      <c r="N294" s="17"/>
      <c r="Q294" s="16"/>
      <c r="S294" s="1">
        <f t="shared" si="120"/>
        <v>0</v>
      </c>
      <c r="T294" s="1">
        <f t="shared" si="121"/>
        <v>0</v>
      </c>
      <c r="U294" s="1">
        <f t="shared" si="122"/>
        <v>0</v>
      </c>
      <c r="V294" s="1">
        <f t="shared" si="123"/>
        <v>0</v>
      </c>
      <c r="W294" s="1">
        <f t="shared" si="124"/>
        <v>0</v>
      </c>
      <c r="X294" s="1">
        <f t="shared" si="125"/>
        <v>0</v>
      </c>
      <c r="Y294" s="1">
        <f t="shared" si="126"/>
        <v>0</v>
      </c>
      <c r="Z294" s="1">
        <f t="shared" si="127"/>
        <v>0</v>
      </c>
      <c r="AA294" s="1">
        <f t="shared" si="128"/>
        <v>0</v>
      </c>
      <c r="AB294" s="1">
        <f t="shared" si="129"/>
        <v>0</v>
      </c>
      <c r="AD294" s="1">
        <f t="shared" si="130"/>
        <v>0</v>
      </c>
      <c r="AE294" s="1">
        <f t="shared" si="131"/>
        <v>0</v>
      </c>
      <c r="AF294" s="1">
        <f t="shared" si="116"/>
        <v>0</v>
      </c>
      <c r="AG294" s="1">
        <f t="shared" si="117"/>
        <v>0</v>
      </c>
      <c r="AH294" s="1">
        <f t="shared" si="118"/>
        <v>0</v>
      </c>
      <c r="AI294" s="1">
        <f t="shared" si="119"/>
        <v>1</v>
      </c>
    </row>
    <row r="295" spans="1:35" ht="14.25" customHeight="1" x14ac:dyDescent="0.25">
      <c r="A295" s="47">
        <v>0</v>
      </c>
      <c r="B295" s="47">
        <v>2</v>
      </c>
      <c r="C295" s="47">
        <v>1</v>
      </c>
      <c r="D295" s="48" t="s">
        <v>1271</v>
      </c>
      <c r="E295" s="48" t="s">
        <v>1272</v>
      </c>
      <c r="F295" s="48" t="s">
        <v>1273</v>
      </c>
      <c r="G295" s="48" t="s">
        <v>1171</v>
      </c>
      <c r="H295" s="48" t="s">
        <v>355</v>
      </c>
      <c r="I295" s="47" t="s">
        <v>1274</v>
      </c>
      <c r="J295" s="47">
        <v>11</v>
      </c>
      <c r="K295" s="49" t="s">
        <v>707</v>
      </c>
      <c r="L295" s="49">
        <v>6</v>
      </c>
      <c r="M295" s="50" t="s">
        <v>1735</v>
      </c>
      <c r="N295" s="50" t="s">
        <v>1816</v>
      </c>
      <c r="O295" s="51"/>
      <c r="P295" s="51"/>
      <c r="Q295" s="48"/>
      <c r="S295" s="1">
        <f t="shared" si="120"/>
        <v>0</v>
      </c>
      <c r="T295" s="1">
        <f t="shared" si="121"/>
        <v>0</v>
      </c>
      <c r="U295" s="1">
        <f t="shared" si="122"/>
        <v>0</v>
      </c>
      <c r="V295" s="1">
        <f t="shared" si="123"/>
        <v>0</v>
      </c>
      <c r="W295" s="1">
        <f t="shared" si="124"/>
        <v>0</v>
      </c>
      <c r="X295" s="1">
        <f t="shared" si="125"/>
        <v>0</v>
      </c>
      <c r="Y295" s="1">
        <f t="shared" si="126"/>
        <v>0</v>
      </c>
      <c r="Z295" s="1">
        <f t="shared" si="127"/>
        <v>0</v>
      </c>
      <c r="AA295" s="1">
        <f t="shared" si="128"/>
        <v>0</v>
      </c>
      <c r="AB295" s="1">
        <f t="shared" si="129"/>
        <v>0</v>
      </c>
      <c r="AD295" s="1">
        <f t="shared" si="130"/>
        <v>0</v>
      </c>
      <c r="AE295" s="1">
        <f t="shared" si="131"/>
        <v>0</v>
      </c>
      <c r="AF295" s="1">
        <f t="shared" si="116"/>
        <v>0</v>
      </c>
      <c r="AG295" s="1">
        <f t="shared" si="117"/>
        <v>0</v>
      </c>
      <c r="AH295" s="1">
        <f t="shared" si="118"/>
        <v>0</v>
      </c>
      <c r="AI295" s="1">
        <f t="shared" si="119"/>
        <v>1</v>
      </c>
    </row>
    <row r="296" spans="1:35" ht="14.25" customHeight="1" x14ac:dyDescent="0.25">
      <c r="A296" s="34">
        <v>0</v>
      </c>
      <c r="B296" s="34">
        <v>2</v>
      </c>
      <c r="C296" s="34">
        <v>1</v>
      </c>
      <c r="D296" s="35" t="s">
        <v>1127</v>
      </c>
      <c r="E296" s="35" t="s">
        <v>1321</v>
      </c>
      <c r="F296" s="35" t="s">
        <v>1125</v>
      </c>
      <c r="G296" s="35" t="s">
        <v>231</v>
      </c>
      <c r="H296" s="35" t="s">
        <v>355</v>
      </c>
      <c r="I296" s="34" t="s">
        <v>1126</v>
      </c>
      <c r="J296" s="34">
        <v>7</v>
      </c>
      <c r="K296" s="36" t="s">
        <v>717</v>
      </c>
      <c r="L296" s="36" t="s">
        <v>1716</v>
      </c>
      <c r="M296" s="37" t="s">
        <v>718</v>
      </c>
      <c r="N296" s="37" t="s">
        <v>1763</v>
      </c>
      <c r="O296" s="38">
        <v>1</v>
      </c>
      <c r="P296" s="38"/>
      <c r="Q296" s="35"/>
      <c r="S296" s="1">
        <f t="shared" si="120"/>
        <v>0</v>
      </c>
      <c r="T296" s="1">
        <f t="shared" si="121"/>
        <v>0</v>
      </c>
      <c r="U296" s="1">
        <f t="shared" si="122"/>
        <v>0</v>
      </c>
      <c r="V296" s="1">
        <f t="shared" si="123"/>
        <v>0</v>
      </c>
      <c r="W296" s="1">
        <f t="shared" si="124"/>
        <v>0</v>
      </c>
      <c r="X296" s="1">
        <f t="shared" si="125"/>
        <v>0</v>
      </c>
      <c r="Y296" s="1">
        <f t="shared" si="126"/>
        <v>1</v>
      </c>
      <c r="Z296" s="1">
        <f t="shared" si="127"/>
        <v>0</v>
      </c>
      <c r="AA296" s="1">
        <f t="shared" si="128"/>
        <v>0</v>
      </c>
      <c r="AB296" s="1">
        <f t="shared" si="129"/>
        <v>0</v>
      </c>
      <c r="AD296" s="1">
        <f t="shared" si="130"/>
        <v>0</v>
      </c>
      <c r="AE296" s="1">
        <f t="shared" si="131"/>
        <v>1</v>
      </c>
      <c r="AF296" s="1">
        <f t="shared" si="116"/>
        <v>0</v>
      </c>
      <c r="AG296" s="1">
        <f t="shared" si="117"/>
        <v>1</v>
      </c>
      <c r="AH296" s="1">
        <f t="shared" si="118"/>
        <v>0</v>
      </c>
      <c r="AI296" s="1">
        <f t="shared" si="119"/>
        <v>1</v>
      </c>
    </row>
    <row r="297" spans="1:35" ht="14.25" customHeight="1" x14ac:dyDescent="0.25">
      <c r="A297" s="34">
        <v>0</v>
      </c>
      <c r="B297" s="34">
        <v>2</v>
      </c>
      <c r="C297" s="34">
        <v>1</v>
      </c>
      <c r="D297" s="35" t="s">
        <v>1012</v>
      </c>
      <c r="E297" s="35" t="s">
        <v>1343</v>
      </c>
      <c r="F297" s="35" t="s">
        <v>1013</v>
      </c>
      <c r="G297" s="35" t="s">
        <v>1104</v>
      </c>
      <c r="H297" s="35" t="s">
        <v>355</v>
      </c>
      <c r="I297" s="34" t="s">
        <v>409</v>
      </c>
      <c r="J297" s="34">
        <v>99</v>
      </c>
      <c r="K297" s="36" t="s">
        <v>717</v>
      </c>
      <c r="L297" s="36" t="s">
        <v>717</v>
      </c>
      <c r="M297" s="37" t="s">
        <v>718</v>
      </c>
      <c r="N297" s="37" t="s">
        <v>1750</v>
      </c>
      <c r="O297" s="38">
        <v>1</v>
      </c>
      <c r="P297" s="38"/>
      <c r="Q297" s="35"/>
      <c r="S297" s="1">
        <f t="shared" si="120"/>
        <v>0</v>
      </c>
      <c r="T297" s="1">
        <f t="shared" si="121"/>
        <v>0</v>
      </c>
      <c r="U297" s="1">
        <f t="shared" si="122"/>
        <v>0</v>
      </c>
      <c r="V297" s="1">
        <f t="shared" si="123"/>
        <v>0</v>
      </c>
      <c r="W297" s="1">
        <f t="shared" si="124"/>
        <v>0</v>
      </c>
      <c r="X297" s="1">
        <f t="shared" si="125"/>
        <v>0</v>
      </c>
      <c r="Y297" s="1">
        <f t="shared" si="126"/>
        <v>0</v>
      </c>
      <c r="Z297" s="1">
        <f t="shared" si="127"/>
        <v>0</v>
      </c>
      <c r="AA297" s="1">
        <f t="shared" si="128"/>
        <v>0</v>
      </c>
      <c r="AB297" s="1">
        <f t="shared" si="129"/>
        <v>0</v>
      </c>
      <c r="AD297" s="1">
        <f t="shared" si="130"/>
        <v>0</v>
      </c>
      <c r="AE297" s="1">
        <f t="shared" si="131"/>
        <v>1</v>
      </c>
      <c r="AF297" s="1">
        <f t="shared" si="116"/>
        <v>0</v>
      </c>
      <c r="AG297" s="1">
        <f t="shared" si="117"/>
        <v>1</v>
      </c>
      <c r="AH297" s="1">
        <f t="shared" si="118"/>
        <v>0</v>
      </c>
      <c r="AI297" s="1">
        <f t="shared" si="119"/>
        <v>1</v>
      </c>
    </row>
    <row r="298" spans="1:35" ht="14.25" customHeight="1" x14ac:dyDescent="0.25">
      <c r="A298" s="52">
        <v>0</v>
      </c>
      <c r="B298" s="52">
        <v>2</v>
      </c>
      <c r="C298" s="52">
        <v>1</v>
      </c>
      <c r="D298" s="53" t="s">
        <v>1134</v>
      </c>
      <c r="E298" s="53" t="s">
        <v>563</v>
      </c>
      <c r="F298" s="53" t="s">
        <v>1361</v>
      </c>
      <c r="G298" s="53" t="s">
        <v>266</v>
      </c>
      <c r="H298" s="53" t="s">
        <v>355</v>
      </c>
      <c r="I298" s="52" t="s">
        <v>1135</v>
      </c>
      <c r="J298" s="52">
        <v>8</v>
      </c>
      <c r="K298" s="54" t="s">
        <v>716</v>
      </c>
      <c r="L298" s="54" t="s">
        <v>1716</v>
      </c>
      <c r="M298" s="55" t="s">
        <v>718</v>
      </c>
      <c r="N298" s="55" t="s">
        <v>1755</v>
      </c>
      <c r="O298" s="56">
        <v>1</v>
      </c>
      <c r="P298" s="56"/>
      <c r="Q298" s="53"/>
      <c r="S298" s="1">
        <f t="shared" si="120"/>
        <v>0</v>
      </c>
      <c r="T298" s="1">
        <f t="shared" si="121"/>
        <v>0</v>
      </c>
      <c r="U298" s="1">
        <f t="shared" si="122"/>
        <v>0</v>
      </c>
      <c r="V298" s="1">
        <f t="shared" si="123"/>
        <v>0</v>
      </c>
      <c r="W298" s="1">
        <f t="shared" si="124"/>
        <v>0</v>
      </c>
      <c r="X298" s="1">
        <f t="shared" si="125"/>
        <v>0</v>
      </c>
      <c r="Y298" s="1">
        <f t="shared" si="126"/>
        <v>0</v>
      </c>
      <c r="Z298" s="1">
        <f t="shared" si="127"/>
        <v>1</v>
      </c>
      <c r="AA298" s="1">
        <f t="shared" si="128"/>
        <v>0</v>
      </c>
      <c r="AB298" s="1">
        <f t="shared" si="129"/>
        <v>0</v>
      </c>
      <c r="AD298" s="1">
        <f t="shared" si="130"/>
        <v>0</v>
      </c>
      <c r="AE298" s="1">
        <f t="shared" si="131"/>
        <v>1</v>
      </c>
      <c r="AF298" s="1">
        <f t="shared" si="116"/>
        <v>0</v>
      </c>
      <c r="AG298" s="1">
        <f t="shared" si="117"/>
        <v>1</v>
      </c>
      <c r="AH298" s="1">
        <f t="shared" si="118"/>
        <v>0</v>
      </c>
      <c r="AI298" s="1">
        <f t="shared" si="119"/>
        <v>1</v>
      </c>
    </row>
    <row r="299" spans="1:35" ht="14.25" customHeight="1" x14ac:dyDescent="0.25">
      <c r="A299" s="47">
        <v>0</v>
      </c>
      <c r="B299" s="47">
        <v>2</v>
      </c>
      <c r="C299" s="47">
        <v>1</v>
      </c>
      <c r="D299" s="48" t="s">
        <v>1293</v>
      </c>
      <c r="E299" s="48" t="s">
        <v>1341</v>
      </c>
      <c r="F299" s="48" t="s">
        <v>1290</v>
      </c>
      <c r="G299" s="48" t="s">
        <v>1291</v>
      </c>
      <c r="H299" s="48" t="s">
        <v>355</v>
      </c>
      <c r="I299" s="47" t="s">
        <v>1292</v>
      </c>
      <c r="J299" s="47">
        <v>1</v>
      </c>
      <c r="K299" s="49" t="s">
        <v>716</v>
      </c>
      <c r="L299" s="49" t="s">
        <v>717</v>
      </c>
      <c r="M299" s="50" t="s">
        <v>718</v>
      </c>
      <c r="N299" s="50" t="s">
        <v>1745</v>
      </c>
      <c r="O299" s="51"/>
      <c r="P299" s="51"/>
      <c r="Q299" s="68" t="s">
        <v>1909</v>
      </c>
      <c r="S299" s="1">
        <f t="shared" si="120"/>
        <v>1</v>
      </c>
      <c r="T299" s="1">
        <f t="shared" si="121"/>
        <v>0</v>
      </c>
      <c r="U299" s="1">
        <f t="shared" si="122"/>
        <v>0</v>
      </c>
      <c r="V299" s="1">
        <f t="shared" si="123"/>
        <v>0</v>
      </c>
      <c r="W299" s="1">
        <f t="shared" si="124"/>
        <v>0</v>
      </c>
      <c r="X299" s="1">
        <f t="shared" si="125"/>
        <v>0</v>
      </c>
      <c r="Y299" s="1">
        <f t="shared" si="126"/>
        <v>0</v>
      </c>
      <c r="Z299" s="1">
        <f t="shared" si="127"/>
        <v>0</v>
      </c>
      <c r="AA299" s="1">
        <f t="shared" si="128"/>
        <v>0</v>
      </c>
      <c r="AB299" s="1">
        <f t="shared" si="129"/>
        <v>0</v>
      </c>
      <c r="AD299" s="1">
        <f t="shared" si="130"/>
        <v>0</v>
      </c>
      <c r="AE299" s="1">
        <f t="shared" si="131"/>
        <v>0</v>
      </c>
      <c r="AF299" s="1">
        <f t="shared" si="116"/>
        <v>0</v>
      </c>
      <c r="AG299" s="1">
        <f t="shared" si="117"/>
        <v>0</v>
      </c>
      <c r="AH299" s="1">
        <f t="shared" si="118"/>
        <v>0</v>
      </c>
      <c r="AI299" s="1">
        <f t="shared" si="119"/>
        <v>1</v>
      </c>
    </row>
    <row r="300" spans="1:35" ht="14.25" customHeight="1" x14ac:dyDescent="0.25">
      <c r="A300" s="47">
        <v>0</v>
      </c>
      <c r="B300" s="47">
        <v>2</v>
      </c>
      <c r="C300" s="47">
        <v>1</v>
      </c>
      <c r="D300" s="48" t="s">
        <v>52</v>
      </c>
      <c r="E300" s="48" t="s">
        <v>32</v>
      </c>
      <c r="F300" s="48" t="s">
        <v>207</v>
      </c>
      <c r="G300" s="48" t="s">
        <v>208</v>
      </c>
      <c r="H300" s="48" t="s">
        <v>355</v>
      </c>
      <c r="I300" s="47" t="s">
        <v>392</v>
      </c>
      <c r="J300" s="47">
        <v>99</v>
      </c>
      <c r="K300" s="49" t="s">
        <v>716</v>
      </c>
      <c r="L300" s="49" t="s">
        <v>717</v>
      </c>
      <c r="M300" s="50" t="s">
        <v>718</v>
      </c>
      <c r="N300" s="50" t="s">
        <v>1754</v>
      </c>
      <c r="O300" s="51"/>
      <c r="P300" s="51"/>
      <c r="Q300" s="48"/>
      <c r="S300" s="1">
        <f t="shared" si="120"/>
        <v>0</v>
      </c>
      <c r="T300" s="1">
        <f t="shared" si="121"/>
        <v>0</v>
      </c>
      <c r="U300" s="1">
        <f t="shared" si="122"/>
        <v>0</v>
      </c>
      <c r="V300" s="1">
        <f t="shared" si="123"/>
        <v>0</v>
      </c>
      <c r="W300" s="1">
        <f t="shared" si="124"/>
        <v>0</v>
      </c>
      <c r="X300" s="1">
        <f t="shared" si="125"/>
        <v>0</v>
      </c>
      <c r="Y300" s="1">
        <f t="shared" si="126"/>
        <v>0</v>
      </c>
      <c r="Z300" s="1">
        <f t="shared" si="127"/>
        <v>0</v>
      </c>
      <c r="AA300" s="1">
        <f t="shared" si="128"/>
        <v>0</v>
      </c>
      <c r="AB300" s="1">
        <f t="shared" si="129"/>
        <v>0</v>
      </c>
      <c r="AD300" s="1">
        <f t="shared" si="130"/>
        <v>0</v>
      </c>
      <c r="AE300" s="1">
        <f t="shared" si="131"/>
        <v>0</v>
      </c>
      <c r="AF300" s="1">
        <f t="shared" si="116"/>
        <v>0</v>
      </c>
      <c r="AG300" s="1">
        <f t="shared" si="117"/>
        <v>0</v>
      </c>
      <c r="AH300" s="1">
        <f t="shared" si="118"/>
        <v>0</v>
      </c>
      <c r="AI300" s="1">
        <f t="shared" si="119"/>
        <v>1</v>
      </c>
    </row>
    <row r="301" spans="1:35" ht="14.25" customHeight="1" x14ac:dyDescent="0.25">
      <c r="A301" s="47">
        <v>0</v>
      </c>
      <c r="B301" s="47">
        <v>2</v>
      </c>
      <c r="C301" s="47">
        <v>1</v>
      </c>
      <c r="D301" s="48" t="s">
        <v>73</v>
      </c>
      <c r="E301" s="48" t="s">
        <v>563</v>
      </c>
      <c r="F301" s="48" t="s">
        <v>1054</v>
      </c>
      <c r="G301" s="48" t="s">
        <v>191</v>
      </c>
      <c r="H301" s="48" t="s">
        <v>355</v>
      </c>
      <c r="I301" s="47" t="s">
        <v>422</v>
      </c>
      <c r="J301" s="47">
        <v>99</v>
      </c>
      <c r="K301" s="49" t="s">
        <v>958</v>
      </c>
      <c r="L301" s="49" t="s">
        <v>717</v>
      </c>
      <c r="M301" s="50" t="s">
        <v>718</v>
      </c>
      <c r="N301" s="50" t="s">
        <v>1742</v>
      </c>
      <c r="O301" s="51"/>
      <c r="P301" s="51"/>
      <c r="Q301" s="48"/>
      <c r="S301" s="1">
        <f t="shared" si="120"/>
        <v>0</v>
      </c>
      <c r="T301" s="1">
        <f t="shared" si="121"/>
        <v>0</v>
      </c>
      <c r="U301" s="1">
        <f t="shared" si="122"/>
        <v>0</v>
      </c>
      <c r="V301" s="1">
        <f t="shared" si="123"/>
        <v>0</v>
      </c>
      <c r="W301" s="1">
        <f t="shared" si="124"/>
        <v>0</v>
      </c>
      <c r="X301" s="1">
        <f t="shared" si="125"/>
        <v>0</v>
      </c>
      <c r="Y301" s="1">
        <f t="shared" si="126"/>
        <v>0</v>
      </c>
      <c r="Z301" s="1">
        <f t="shared" si="127"/>
        <v>0</v>
      </c>
      <c r="AA301" s="1">
        <f t="shared" si="128"/>
        <v>0</v>
      </c>
      <c r="AB301" s="1">
        <f t="shared" si="129"/>
        <v>0</v>
      </c>
      <c r="AD301" s="1">
        <f t="shared" si="130"/>
        <v>0</v>
      </c>
      <c r="AE301" s="1">
        <f t="shared" si="131"/>
        <v>0</v>
      </c>
      <c r="AF301" s="1">
        <f t="shared" si="116"/>
        <v>0</v>
      </c>
      <c r="AG301" s="1">
        <f t="shared" si="117"/>
        <v>0</v>
      </c>
      <c r="AH301" s="1">
        <f t="shared" si="118"/>
        <v>0</v>
      </c>
      <c r="AI301" s="1">
        <f t="shared" si="119"/>
        <v>1</v>
      </c>
    </row>
    <row r="302" spans="1:35" ht="14.25" customHeight="1" x14ac:dyDescent="0.25">
      <c r="A302" s="15">
        <v>0</v>
      </c>
      <c r="B302" s="15">
        <v>2</v>
      </c>
      <c r="C302" s="15">
        <v>1</v>
      </c>
      <c r="D302" s="16" t="s">
        <v>47</v>
      </c>
      <c r="E302" s="16" t="s">
        <v>32</v>
      </c>
      <c r="F302" s="16" t="s">
        <v>188</v>
      </c>
      <c r="G302" s="16" t="s">
        <v>181</v>
      </c>
      <c r="H302" s="16" t="s">
        <v>355</v>
      </c>
      <c r="I302" s="15" t="s">
        <v>384</v>
      </c>
      <c r="J302" s="15">
        <v>10</v>
      </c>
      <c r="K302" s="10" t="s">
        <v>959</v>
      </c>
      <c r="L302" s="10" t="s">
        <v>717</v>
      </c>
      <c r="M302" s="19" t="s">
        <v>718</v>
      </c>
      <c r="N302" s="19"/>
      <c r="Q302" s="16"/>
      <c r="S302" s="1">
        <f t="shared" si="120"/>
        <v>0</v>
      </c>
      <c r="T302" s="1">
        <f t="shared" si="121"/>
        <v>0</v>
      </c>
      <c r="U302" s="1">
        <f t="shared" si="122"/>
        <v>0</v>
      </c>
      <c r="V302" s="1">
        <f t="shared" si="123"/>
        <v>0</v>
      </c>
      <c r="W302" s="1">
        <f t="shared" si="124"/>
        <v>0</v>
      </c>
      <c r="X302" s="1">
        <f t="shared" si="125"/>
        <v>0</v>
      </c>
      <c r="Y302" s="1">
        <f t="shared" si="126"/>
        <v>0</v>
      </c>
      <c r="Z302" s="1">
        <f t="shared" si="127"/>
        <v>0</v>
      </c>
      <c r="AA302" s="1">
        <f t="shared" si="128"/>
        <v>0</v>
      </c>
      <c r="AB302" s="1">
        <f t="shared" si="129"/>
        <v>1</v>
      </c>
      <c r="AD302" s="1">
        <f t="shared" si="130"/>
        <v>0</v>
      </c>
      <c r="AE302" s="1">
        <f t="shared" si="131"/>
        <v>0</v>
      </c>
      <c r="AF302" s="1">
        <f t="shared" si="116"/>
        <v>0</v>
      </c>
      <c r="AG302" s="1">
        <f t="shared" si="117"/>
        <v>0</v>
      </c>
      <c r="AH302" s="1">
        <f t="shared" si="118"/>
        <v>0</v>
      </c>
      <c r="AI302" s="1">
        <f t="shared" si="119"/>
        <v>1</v>
      </c>
    </row>
    <row r="303" spans="1:35" ht="14.25" customHeight="1" x14ac:dyDescent="0.25">
      <c r="A303" s="47">
        <v>0</v>
      </c>
      <c r="B303" s="47">
        <v>2</v>
      </c>
      <c r="C303" s="47">
        <v>1</v>
      </c>
      <c r="D303" s="48" t="s">
        <v>654</v>
      </c>
      <c r="E303" s="48" t="s">
        <v>161</v>
      </c>
      <c r="F303" s="48" t="s">
        <v>189</v>
      </c>
      <c r="G303" s="48" t="s">
        <v>671</v>
      </c>
      <c r="H303" s="48" t="s">
        <v>355</v>
      </c>
      <c r="I303" s="47" t="s">
        <v>385</v>
      </c>
      <c r="J303" s="47">
        <v>99</v>
      </c>
      <c r="K303" s="49" t="s">
        <v>716</v>
      </c>
      <c r="L303" s="49" t="s">
        <v>717</v>
      </c>
      <c r="M303" s="50" t="s">
        <v>718</v>
      </c>
      <c r="N303" s="50" t="s">
        <v>1744</v>
      </c>
      <c r="O303" s="51"/>
      <c r="P303" s="51"/>
      <c r="Q303" s="48"/>
      <c r="S303" s="1">
        <f t="shared" si="120"/>
        <v>0</v>
      </c>
      <c r="T303" s="1">
        <f t="shared" si="121"/>
        <v>0</v>
      </c>
      <c r="U303" s="1">
        <f t="shared" si="122"/>
        <v>0</v>
      </c>
      <c r="V303" s="1">
        <f t="shared" si="123"/>
        <v>0</v>
      </c>
      <c r="W303" s="1">
        <f t="shared" si="124"/>
        <v>0</v>
      </c>
      <c r="X303" s="1">
        <f t="shared" si="125"/>
        <v>0</v>
      </c>
      <c r="Y303" s="1">
        <f t="shared" si="126"/>
        <v>0</v>
      </c>
      <c r="Z303" s="1">
        <f t="shared" si="127"/>
        <v>0</v>
      </c>
      <c r="AA303" s="1">
        <f t="shared" si="128"/>
        <v>0</v>
      </c>
      <c r="AB303" s="1">
        <f t="shared" si="129"/>
        <v>0</v>
      </c>
      <c r="AD303" s="1">
        <f t="shared" si="130"/>
        <v>0</v>
      </c>
      <c r="AE303" s="1">
        <f t="shared" si="131"/>
        <v>0</v>
      </c>
      <c r="AF303" s="1">
        <f t="shared" si="116"/>
        <v>0</v>
      </c>
      <c r="AG303" s="1">
        <f t="shared" si="117"/>
        <v>0</v>
      </c>
      <c r="AH303" s="1">
        <f t="shared" si="118"/>
        <v>0</v>
      </c>
      <c r="AI303" s="1">
        <f t="shared" si="119"/>
        <v>1</v>
      </c>
    </row>
    <row r="304" spans="1:35" ht="14.25" customHeight="1" x14ac:dyDescent="0.25">
      <c r="A304" s="41">
        <v>0</v>
      </c>
      <c r="B304" s="41">
        <v>2</v>
      </c>
      <c r="C304" s="41">
        <v>1</v>
      </c>
      <c r="D304" s="42" t="s">
        <v>1311</v>
      </c>
      <c r="E304" s="42" t="s">
        <v>36</v>
      </c>
      <c r="F304" s="42" t="s">
        <v>1312</v>
      </c>
      <c r="G304" s="42" t="s">
        <v>259</v>
      </c>
      <c r="H304" s="42" t="s">
        <v>355</v>
      </c>
      <c r="I304" s="41" t="s">
        <v>1313</v>
      </c>
      <c r="J304" s="41">
        <v>8</v>
      </c>
      <c r="K304" s="43" t="s">
        <v>963</v>
      </c>
      <c r="L304" s="43" t="s">
        <v>717</v>
      </c>
      <c r="M304" s="44" t="s">
        <v>718</v>
      </c>
      <c r="N304" s="45"/>
      <c r="O304" s="46"/>
      <c r="P304" s="46">
        <v>1</v>
      </c>
      <c r="Q304" s="42"/>
      <c r="S304" s="1">
        <f t="shared" si="120"/>
        <v>0</v>
      </c>
      <c r="T304" s="1">
        <f t="shared" si="121"/>
        <v>0</v>
      </c>
      <c r="U304" s="1">
        <f t="shared" si="122"/>
        <v>0</v>
      </c>
      <c r="V304" s="1">
        <f t="shared" si="123"/>
        <v>0</v>
      </c>
      <c r="W304" s="1">
        <f t="shared" si="124"/>
        <v>0</v>
      </c>
      <c r="X304" s="1">
        <f t="shared" si="125"/>
        <v>0</v>
      </c>
      <c r="Y304" s="1">
        <f t="shared" si="126"/>
        <v>0</v>
      </c>
      <c r="Z304" s="1">
        <f t="shared" si="127"/>
        <v>1</v>
      </c>
      <c r="AA304" s="1">
        <f t="shared" si="128"/>
        <v>0</v>
      </c>
      <c r="AB304" s="1">
        <f t="shared" si="129"/>
        <v>0</v>
      </c>
      <c r="AD304" s="1">
        <f t="shared" si="130"/>
        <v>0</v>
      </c>
      <c r="AE304" s="1">
        <f t="shared" si="131"/>
        <v>0</v>
      </c>
      <c r="AF304" s="1">
        <f t="shared" si="116"/>
        <v>0</v>
      </c>
      <c r="AG304" s="1">
        <f t="shared" si="117"/>
        <v>0</v>
      </c>
      <c r="AH304" s="1">
        <f t="shared" si="118"/>
        <v>1</v>
      </c>
      <c r="AI304" s="1">
        <f t="shared" si="119"/>
        <v>0</v>
      </c>
    </row>
    <row r="305" spans="1:35" ht="14.25" customHeight="1" x14ac:dyDescent="0.25">
      <c r="A305" s="34">
        <v>0</v>
      </c>
      <c r="B305" s="34">
        <v>2</v>
      </c>
      <c r="C305" s="34">
        <v>1</v>
      </c>
      <c r="D305" s="35" t="s">
        <v>54</v>
      </c>
      <c r="E305" s="35" t="s">
        <v>563</v>
      </c>
      <c r="F305" s="35" t="s">
        <v>213</v>
      </c>
      <c r="G305" s="35" t="s">
        <v>214</v>
      </c>
      <c r="H305" s="35" t="s">
        <v>355</v>
      </c>
      <c r="I305" s="34" t="s">
        <v>394</v>
      </c>
      <c r="J305" s="34">
        <v>1</v>
      </c>
      <c r="K305" s="36" t="s">
        <v>959</v>
      </c>
      <c r="L305" s="36" t="s">
        <v>717</v>
      </c>
      <c r="M305" s="37" t="s">
        <v>39</v>
      </c>
      <c r="N305" s="37" t="s">
        <v>1750</v>
      </c>
      <c r="O305" s="38">
        <v>1</v>
      </c>
      <c r="P305" s="38"/>
      <c r="Q305" s="35"/>
      <c r="S305" s="1">
        <f t="shared" si="120"/>
        <v>1</v>
      </c>
      <c r="T305" s="1">
        <f t="shared" si="121"/>
        <v>0</v>
      </c>
      <c r="U305" s="1">
        <f t="shared" si="122"/>
        <v>0</v>
      </c>
      <c r="V305" s="1">
        <f t="shared" si="123"/>
        <v>0</v>
      </c>
      <c r="W305" s="1">
        <f t="shared" si="124"/>
        <v>0</v>
      </c>
      <c r="X305" s="1">
        <f t="shared" si="125"/>
        <v>0</v>
      </c>
      <c r="Y305" s="1">
        <f t="shared" si="126"/>
        <v>0</v>
      </c>
      <c r="Z305" s="1">
        <f t="shared" si="127"/>
        <v>0</v>
      </c>
      <c r="AA305" s="1">
        <f t="shared" si="128"/>
        <v>0</v>
      </c>
      <c r="AB305" s="1">
        <f t="shared" si="129"/>
        <v>0</v>
      </c>
      <c r="AD305" s="1">
        <f t="shared" si="130"/>
        <v>0</v>
      </c>
      <c r="AE305" s="1">
        <f t="shared" si="131"/>
        <v>1</v>
      </c>
      <c r="AF305" s="1">
        <f t="shared" si="116"/>
        <v>0</v>
      </c>
      <c r="AG305" s="1">
        <f t="shared" si="117"/>
        <v>1</v>
      </c>
      <c r="AH305" s="1">
        <f t="shared" si="118"/>
        <v>0</v>
      </c>
      <c r="AI305" s="1">
        <f t="shared" si="119"/>
        <v>1</v>
      </c>
    </row>
    <row r="306" spans="1:35" ht="14.25" customHeight="1" x14ac:dyDescent="0.25">
      <c r="A306" s="47">
        <v>0</v>
      </c>
      <c r="B306" s="47">
        <v>2</v>
      </c>
      <c r="C306" s="47">
        <v>1</v>
      </c>
      <c r="D306" s="48" t="s">
        <v>61</v>
      </c>
      <c r="E306" s="48" t="s">
        <v>545</v>
      </c>
      <c r="F306" s="48" t="s">
        <v>234</v>
      </c>
      <c r="G306" s="48" t="s">
        <v>205</v>
      </c>
      <c r="H306" s="48" t="s">
        <v>355</v>
      </c>
      <c r="I306" s="47" t="s">
        <v>402</v>
      </c>
      <c r="J306" s="47">
        <v>7</v>
      </c>
      <c r="K306" s="49" t="s">
        <v>716</v>
      </c>
      <c r="L306" s="49" t="s">
        <v>717</v>
      </c>
      <c r="M306" s="50" t="s">
        <v>718</v>
      </c>
      <c r="N306" s="50" t="s">
        <v>1745</v>
      </c>
      <c r="O306" s="51"/>
      <c r="P306" s="51"/>
      <c r="Q306" s="48"/>
      <c r="S306" s="1">
        <f t="shared" si="120"/>
        <v>0</v>
      </c>
      <c r="T306" s="1">
        <f t="shared" si="121"/>
        <v>0</v>
      </c>
      <c r="U306" s="1">
        <f t="shared" si="122"/>
        <v>0</v>
      </c>
      <c r="V306" s="1">
        <f t="shared" si="123"/>
        <v>0</v>
      </c>
      <c r="W306" s="1">
        <f t="shared" si="124"/>
        <v>0</v>
      </c>
      <c r="X306" s="1">
        <f t="shared" si="125"/>
        <v>0</v>
      </c>
      <c r="Y306" s="1">
        <f t="shared" si="126"/>
        <v>1</v>
      </c>
      <c r="Z306" s="1">
        <f t="shared" si="127"/>
        <v>0</v>
      </c>
      <c r="AA306" s="1">
        <f t="shared" si="128"/>
        <v>0</v>
      </c>
      <c r="AB306" s="1">
        <f t="shared" si="129"/>
        <v>0</v>
      </c>
      <c r="AD306" s="1">
        <f t="shared" si="130"/>
        <v>0</v>
      </c>
      <c r="AE306" s="1">
        <f t="shared" si="131"/>
        <v>0</v>
      </c>
      <c r="AF306" s="1">
        <f t="shared" si="116"/>
        <v>0</v>
      </c>
      <c r="AG306" s="1">
        <f t="shared" si="117"/>
        <v>0</v>
      </c>
      <c r="AH306" s="1">
        <f t="shared" si="118"/>
        <v>0</v>
      </c>
      <c r="AI306" s="1">
        <f t="shared" si="119"/>
        <v>1</v>
      </c>
    </row>
    <row r="307" spans="1:35" ht="14.25" customHeight="1" x14ac:dyDescent="0.25">
      <c r="A307" s="52">
        <v>0</v>
      </c>
      <c r="B307" s="52">
        <v>2</v>
      </c>
      <c r="C307" s="52">
        <v>1</v>
      </c>
      <c r="D307" s="53" t="s">
        <v>1654</v>
      </c>
      <c r="E307" s="53" t="s">
        <v>563</v>
      </c>
      <c r="F307" s="53" t="s">
        <v>1365</v>
      </c>
      <c r="G307" s="53" t="s">
        <v>1291</v>
      </c>
      <c r="H307" s="53" t="s">
        <v>355</v>
      </c>
      <c r="I307" s="52" t="s">
        <v>1174</v>
      </c>
      <c r="J307" s="52">
        <v>99</v>
      </c>
      <c r="K307" s="54" t="s">
        <v>716</v>
      </c>
      <c r="L307" s="54" t="s">
        <v>717</v>
      </c>
      <c r="M307" s="55" t="s">
        <v>718</v>
      </c>
      <c r="N307" s="55" t="s">
        <v>1755</v>
      </c>
      <c r="O307" s="56">
        <v>1</v>
      </c>
      <c r="P307" s="56"/>
      <c r="Q307" s="58" t="s">
        <v>1908</v>
      </c>
      <c r="S307" s="1">
        <f t="shared" si="120"/>
        <v>0</v>
      </c>
      <c r="T307" s="1">
        <f t="shared" si="121"/>
        <v>0</v>
      </c>
      <c r="U307" s="1">
        <f t="shared" si="122"/>
        <v>0</v>
      </c>
      <c r="V307" s="1">
        <f t="shared" si="123"/>
        <v>0</v>
      </c>
      <c r="W307" s="1">
        <f t="shared" si="124"/>
        <v>0</v>
      </c>
      <c r="X307" s="1">
        <f t="shared" si="125"/>
        <v>0</v>
      </c>
      <c r="Y307" s="1">
        <f t="shared" si="126"/>
        <v>0</v>
      </c>
      <c r="Z307" s="1">
        <f t="shared" si="127"/>
        <v>0</v>
      </c>
      <c r="AA307" s="1">
        <f t="shared" si="128"/>
        <v>0</v>
      </c>
      <c r="AB307" s="1">
        <f t="shared" si="129"/>
        <v>0</v>
      </c>
      <c r="AD307" s="1">
        <f t="shared" si="130"/>
        <v>0</v>
      </c>
      <c r="AE307" s="1">
        <f t="shared" si="131"/>
        <v>1</v>
      </c>
      <c r="AF307" s="1">
        <f t="shared" si="116"/>
        <v>0</v>
      </c>
      <c r="AG307" s="1">
        <f t="shared" si="117"/>
        <v>1</v>
      </c>
      <c r="AH307" s="1">
        <f t="shared" si="118"/>
        <v>0</v>
      </c>
      <c r="AI307" s="1">
        <f t="shared" si="119"/>
        <v>1</v>
      </c>
    </row>
    <row r="308" spans="1:35" ht="14.25" customHeight="1" x14ac:dyDescent="0.25">
      <c r="A308" s="52">
        <v>0</v>
      </c>
      <c r="B308" s="52">
        <v>2</v>
      </c>
      <c r="C308" s="52">
        <v>1</v>
      </c>
      <c r="D308" s="53" t="s">
        <v>1789</v>
      </c>
      <c r="E308" s="53" t="s">
        <v>1790</v>
      </c>
      <c r="F308" s="53" t="s">
        <v>1791</v>
      </c>
      <c r="G308" s="53" t="s">
        <v>1792</v>
      </c>
      <c r="H308" s="53" t="s">
        <v>355</v>
      </c>
      <c r="I308" s="52"/>
      <c r="J308" s="52">
        <v>1</v>
      </c>
      <c r="K308" s="54" t="s">
        <v>707</v>
      </c>
      <c r="L308" s="54"/>
      <c r="M308" s="55"/>
      <c r="N308" s="55" t="s">
        <v>1750</v>
      </c>
      <c r="O308" s="56">
        <v>1</v>
      </c>
      <c r="P308" s="56"/>
      <c r="Q308" s="58" t="s">
        <v>1916</v>
      </c>
      <c r="S308" s="1">
        <f t="shared" si="120"/>
        <v>1</v>
      </c>
      <c r="T308" s="1">
        <f t="shared" si="121"/>
        <v>0</v>
      </c>
      <c r="U308" s="1">
        <f t="shared" si="122"/>
        <v>0</v>
      </c>
      <c r="V308" s="1">
        <f t="shared" si="123"/>
        <v>0</v>
      </c>
      <c r="W308" s="1">
        <f t="shared" si="124"/>
        <v>0</v>
      </c>
      <c r="X308" s="1">
        <f t="shared" si="125"/>
        <v>0</v>
      </c>
      <c r="Y308" s="1">
        <f t="shared" si="126"/>
        <v>0</v>
      </c>
      <c r="Z308" s="1">
        <f t="shared" si="127"/>
        <v>0</v>
      </c>
      <c r="AA308" s="1">
        <f t="shared" si="128"/>
        <v>0</v>
      </c>
      <c r="AB308" s="1">
        <f t="shared" si="129"/>
        <v>0</v>
      </c>
      <c r="AD308" s="1">
        <f t="shared" si="130"/>
        <v>0</v>
      </c>
      <c r="AE308" s="1">
        <f t="shared" si="131"/>
        <v>1</v>
      </c>
      <c r="AF308" s="1">
        <f t="shared" si="116"/>
        <v>0</v>
      </c>
      <c r="AG308" s="1">
        <f t="shared" si="117"/>
        <v>1</v>
      </c>
      <c r="AH308" s="1">
        <f t="shared" si="118"/>
        <v>0</v>
      </c>
      <c r="AI308" s="1">
        <f t="shared" si="119"/>
        <v>1</v>
      </c>
    </row>
    <row r="309" spans="1:35" ht="14.25" customHeight="1" x14ac:dyDescent="0.25">
      <c r="A309" s="34">
        <v>0</v>
      </c>
      <c r="B309" s="34">
        <v>2</v>
      </c>
      <c r="C309" s="34">
        <v>1</v>
      </c>
      <c r="D309" s="35" t="s">
        <v>1325</v>
      </c>
      <c r="E309" s="35" t="s">
        <v>1345</v>
      </c>
      <c r="F309" s="35" t="s">
        <v>1308</v>
      </c>
      <c r="G309" s="35" t="s">
        <v>1309</v>
      </c>
      <c r="H309" s="35" t="s">
        <v>355</v>
      </c>
      <c r="I309" s="34" t="s">
        <v>1310</v>
      </c>
      <c r="J309" s="34">
        <v>99</v>
      </c>
      <c r="K309" s="36" t="s">
        <v>959</v>
      </c>
      <c r="L309" s="36" t="s">
        <v>717</v>
      </c>
      <c r="M309" s="37" t="s">
        <v>718</v>
      </c>
      <c r="N309" s="37" t="s">
        <v>1926</v>
      </c>
      <c r="O309" s="38">
        <v>1</v>
      </c>
      <c r="P309" s="38"/>
      <c r="Q309" s="35"/>
      <c r="S309" s="1">
        <f t="shared" si="120"/>
        <v>0</v>
      </c>
      <c r="T309" s="1">
        <f t="shared" si="121"/>
        <v>0</v>
      </c>
      <c r="U309" s="1">
        <f t="shared" si="122"/>
        <v>0</v>
      </c>
      <c r="V309" s="1">
        <f t="shared" si="123"/>
        <v>0</v>
      </c>
      <c r="W309" s="1">
        <f t="shared" si="124"/>
        <v>0</v>
      </c>
      <c r="X309" s="1">
        <f t="shared" si="125"/>
        <v>0</v>
      </c>
      <c r="Y309" s="1">
        <f t="shared" si="126"/>
        <v>0</v>
      </c>
      <c r="Z309" s="1">
        <f t="shared" si="127"/>
        <v>0</v>
      </c>
      <c r="AA309" s="1">
        <f t="shared" si="128"/>
        <v>0</v>
      </c>
      <c r="AB309" s="1">
        <f t="shared" si="129"/>
        <v>0</v>
      </c>
      <c r="AD309" s="1">
        <f t="shared" si="130"/>
        <v>0</v>
      </c>
      <c r="AE309" s="1">
        <f t="shared" si="131"/>
        <v>1</v>
      </c>
      <c r="AF309" s="1">
        <f t="shared" si="116"/>
        <v>0</v>
      </c>
      <c r="AG309" s="1">
        <f t="shared" si="117"/>
        <v>1</v>
      </c>
      <c r="AH309" s="1">
        <f t="shared" si="118"/>
        <v>0</v>
      </c>
      <c r="AI309" s="1">
        <f t="shared" si="119"/>
        <v>1</v>
      </c>
    </row>
    <row r="310" spans="1:35" ht="14.25" customHeight="1" x14ac:dyDescent="0.25">
      <c r="A310" s="47">
        <v>0</v>
      </c>
      <c r="B310" s="47">
        <v>2</v>
      </c>
      <c r="C310" s="47">
        <v>1</v>
      </c>
      <c r="D310" s="48" t="s">
        <v>1320</v>
      </c>
      <c r="E310" s="48" t="s">
        <v>161</v>
      </c>
      <c r="F310" s="48" t="s">
        <v>1322</v>
      </c>
      <c r="G310" s="48" t="s">
        <v>1323</v>
      </c>
      <c r="H310" s="48" t="s">
        <v>355</v>
      </c>
      <c r="I310" s="47" t="s">
        <v>1324</v>
      </c>
      <c r="J310" s="47">
        <v>8</v>
      </c>
      <c r="K310" s="49" t="s">
        <v>717</v>
      </c>
      <c r="L310" s="49" t="s">
        <v>717</v>
      </c>
      <c r="M310" s="50" t="s">
        <v>718</v>
      </c>
      <c r="N310" s="50" t="s">
        <v>1754</v>
      </c>
      <c r="O310" s="51"/>
      <c r="P310" s="51"/>
      <c r="Q310" s="48"/>
      <c r="S310" s="1">
        <f t="shared" si="120"/>
        <v>0</v>
      </c>
      <c r="T310" s="1">
        <f t="shared" si="121"/>
        <v>0</v>
      </c>
      <c r="U310" s="1">
        <f t="shared" si="122"/>
        <v>0</v>
      </c>
      <c r="V310" s="1">
        <f t="shared" si="123"/>
        <v>0</v>
      </c>
      <c r="W310" s="1">
        <f t="shared" si="124"/>
        <v>0</v>
      </c>
      <c r="X310" s="1">
        <f t="shared" si="125"/>
        <v>0</v>
      </c>
      <c r="Y310" s="1">
        <f t="shared" si="126"/>
        <v>0</v>
      </c>
      <c r="Z310" s="1">
        <f t="shared" si="127"/>
        <v>1</v>
      </c>
      <c r="AA310" s="1">
        <f t="shared" si="128"/>
        <v>0</v>
      </c>
      <c r="AB310" s="1">
        <f t="shared" si="129"/>
        <v>0</v>
      </c>
      <c r="AD310" s="1">
        <f t="shared" si="130"/>
        <v>0</v>
      </c>
      <c r="AE310" s="1">
        <f t="shared" si="131"/>
        <v>0</v>
      </c>
      <c r="AF310" s="1">
        <f t="shared" si="116"/>
        <v>0</v>
      </c>
      <c r="AG310" s="1">
        <f t="shared" si="117"/>
        <v>0</v>
      </c>
      <c r="AH310" s="1">
        <f t="shared" si="118"/>
        <v>0</v>
      </c>
      <c r="AI310" s="1">
        <f t="shared" si="119"/>
        <v>1</v>
      </c>
    </row>
    <row r="311" spans="1:35" ht="14.25" customHeight="1" x14ac:dyDescent="0.25">
      <c r="A311" s="47">
        <v>0</v>
      </c>
      <c r="B311" s="47">
        <v>2</v>
      </c>
      <c r="C311" s="47">
        <v>2</v>
      </c>
      <c r="D311" s="48" t="s">
        <v>1653</v>
      </c>
      <c r="E311" s="48" t="s">
        <v>1175</v>
      </c>
      <c r="F311" s="48" t="s">
        <v>1687</v>
      </c>
      <c r="G311" s="48" t="s">
        <v>191</v>
      </c>
      <c r="H311" s="48" t="s">
        <v>355</v>
      </c>
      <c r="I311" s="47" t="s">
        <v>1614</v>
      </c>
      <c r="J311" s="47">
        <v>99</v>
      </c>
      <c r="K311" s="49" t="s">
        <v>717</v>
      </c>
      <c r="L311" s="49" t="s">
        <v>700</v>
      </c>
      <c r="M311" s="50" t="s">
        <v>1615</v>
      </c>
      <c r="N311" s="50" t="s">
        <v>1745</v>
      </c>
      <c r="O311" s="51"/>
      <c r="P311" s="51"/>
      <c r="Q311" s="48"/>
      <c r="S311" s="1">
        <f t="shared" si="120"/>
        <v>0</v>
      </c>
      <c r="T311" s="1">
        <f t="shared" si="121"/>
        <v>0</v>
      </c>
      <c r="U311" s="1">
        <f t="shared" si="122"/>
        <v>0</v>
      </c>
      <c r="V311" s="1">
        <f t="shared" si="123"/>
        <v>0</v>
      </c>
      <c r="W311" s="1">
        <f t="shared" si="124"/>
        <v>0</v>
      </c>
      <c r="X311" s="1">
        <f t="shared" si="125"/>
        <v>0</v>
      </c>
      <c r="Y311" s="1">
        <f t="shared" si="126"/>
        <v>0</v>
      </c>
      <c r="Z311" s="1">
        <f t="shared" si="127"/>
        <v>0</v>
      </c>
      <c r="AA311" s="1">
        <f t="shared" si="128"/>
        <v>0</v>
      </c>
      <c r="AB311" s="1">
        <f t="shared" si="129"/>
        <v>0</v>
      </c>
      <c r="AD311" s="1">
        <f t="shared" si="130"/>
        <v>0</v>
      </c>
      <c r="AE311" s="1">
        <f t="shared" si="131"/>
        <v>0</v>
      </c>
      <c r="AF311" s="1">
        <f t="shared" si="116"/>
        <v>0</v>
      </c>
      <c r="AG311" s="1">
        <f t="shared" si="117"/>
        <v>0</v>
      </c>
      <c r="AH311" s="1">
        <f t="shared" si="118"/>
        <v>0</v>
      </c>
      <c r="AI311" s="1">
        <f t="shared" si="119"/>
        <v>1</v>
      </c>
    </row>
    <row r="312" spans="1:35" ht="14.25" customHeight="1" x14ac:dyDescent="0.25">
      <c r="A312" s="52">
        <v>0</v>
      </c>
      <c r="B312" s="52">
        <v>2</v>
      </c>
      <c r="C312" s="52">
        <v>2</v>
      </c>
      <c r="D312" s="53" t="s">
        <v>65</v>
      </c>
      <c r="E312" s="53" t="s">
        <v>165</v>
      </c>
      <c r="F312" s="53" t="s">
        <v>244</v>
      </c>
      <c r="G312" s="53" t="s">
        <v>201</v>
      </c>
      <c r="H312" s="53" t="s">
        <v>355</v>
      </c>
      <c r="I312" s="52" t="s">
        <v>408</v>
      </c>
      <c r="J312" s="52">
        <v>2</v>
      </c>
      <c r="K312" s="54" t="s">
        <v>959</v>
      </c>
      <c r="L312" s="54" t="s">
        <v>700</v>
      </c>
      <c r="M312" s="55" t="s">
        <v>719</v>
      </c>
      <c r="N312" s="55" t="s">
        <v>1750</v>
      </c>
      <c r="O312" s="56">
        <v>1</v>
      </c>
      <c r="P312" s="56"/>
      <c r="Q312" s="53"/>
      <c r="S312" s="1">
        <f t="shared" si="120"/>
        <v>0</v>
      </c>
      <c r="T312" s="1">
        <f t="shared" si="121"/>
        <v>1</v>
      </c>
      <c r="U312" s="1">
        <f t="shared" si="122"/>
        <v>0</v>
      </c>
      <c r="V312" s="1">
        <f t="shared" si="123"/>
        <v>0</v>
      </c>
      <c r="W312" s="1">
        <f t="shared" si="124"/>
        <v>0</v>
      </c>
      <c r="X312" s="1">
        <f t="shared" si="125"/>
        <v>0</v>
      </c>
      <c r="Y312" s="1">
        <f t="shared" si="126"/>
        <v>0</v>
      </c>
      <c r="Z312" s="1">
        <f t="shared" si="127"/>
        <v>0</v>
      </c>
      <c r="AA312" s="1">
        <f t="shared" si="128"/>
        <v>0</v>
      </c>
      <c r="AB312" s="1">
        <f t="shared" si="129"/>
        <v>0</v>
      </c>
      <c r="AD312" s="1">
        <f t="shared" si="130"/>
        <v>0</v>
      </c>
      <c r="AE312" s="1">
        <f t="shared" si="131"/>
        <v>1</v>
      </c>
      <c r="AF312" s="1">
        <f t="shared" si="116"/>
        <v>0</v>
      </c>
      <c r="AG312" s="1">
        <f t="shared" si="117"/>
        <v>1</v>
      </c>
      <c r="AH312" s="1">
        <f t="shared" si="118"/>
        <v>0</v>
      </c>
      <c r="AI312" s="1">
        <f t="shared" si="119"/>
        <v>1</v>
      </c>
    </row>
    <row r="313" spans="1:35" ht="14.25" customHeight="1" x14ac:dyDescent="0.25">
      <c r="A313" s="47">
        <v>0</v>
      </c>
      <c r="B313" s="47">
        <v>2</v>
      </c>
      <c r="C313" s="47">
        <v>2</v>
      </c>
      <c r="D313" s="48" t="s">
        <v>1189</v>
      </c>
      <c r="E313" s="48" t="s">
        <v>1190</v>
      </c>
      <c r="F313" s="48" t="s">
        <v>1355</v>
      </c>
      <c r="G313" s="48" t="s">
        <v>1060</v>
      </c>
      <c r="H313" s="48" t="s">
        <v>355</v>
      </c>
      <c r="I313" s="47" t="s">
        <v>1191</v>
      </c>
      <c r="J313" s="47">
        <v>1</v>
      </c>
      <c r="K313" s="49" t="s">
        <v>716</v>
      </c>
      <c r="L313" s="49" t="s">
        <v>708</v>
      </c>
      <c r="M313" s="50" t="s">
        <v>1419</v>
      </c>
      <c r="N313" s="50" t="s">
        <v>1742</v>
      </c>
      <c r="O313" s="51"/>
      <c r="P313" s="51"/>
      <c r="Q313" s="48"/>
      <c r="S313" s="1">
        <f t="shared" si="120"/>
        <v>1</v>
      </c>
      <c r="T313" s="1">
        <f t="shared" si="121"/>
        <v>0</v>
      </c>
      <c r="U313" s="1">
        <f t="shared" si="122"/>
        <v>0</v>
      </c>
      <c r="V313" s="1">
        <f t="shared" si="123"/>
        <v>0</v>
      </c>
      <c r="W313" s="1">
        <f t="shared" si="124"/>
        <v>0</v>
      </c>
      <c r="X313" s="1">
        <f t="shared" si="125"/>
        <v>0</v>
      </c>
      <c r="Y313" s="1">
        <f t="shared" si="126"/>
        <v>0</v>
      </c>
      <c r="Z313" s="1">
        <f t="shared" si="127"/>
        <v>0</v>
      </c>
      <c r="AA313" s="1">
        <f t="shared" si="128"/>
        <v>0</v>
      </c>
      <c r="AB313" s="1">
        <f t="shared" si="129"/>
        <v>0</v>
      </c>
      <c r="AD313" s="1">
        <f t="shared" si="130"/>
        <v>0</v>
      </c>
      <c r="AE313" s="1">
        <f t="shared" si="131"/>
        <v>0</v>
      </c>
      <c r="AF313" s="1">
        <f t="shared" si="116"/>
        <v>0</v>
      </c>
      <c r="AG313" s="1">
        <f t="shared" si="117"/>
        <v>0</v>
      </c>
      <c r="AH313" s="1">
        <f t="shared" si="118"/>
        <v>0</v>
      </c>
      <c r="AI313" s="1">
        <f t="shared" si="119"/>
        <v>1</v>
      </c>
    </row>
    <row r="314" spans="1:35" ht="14.25" customHeight="1" x14ac:dyDescent="0.25">
      <c r="A314" s="34">
        <v>0</v>
      </c>
      <c r="B314" s="34">
        <v>2</v>
      </c>
      <c r="C314" s="34">
        <v>2</v>
      </c>
      <c r="D314" s="35" t="s">
        <v>1835</v>
      </c>
      <c r="E314" s="35" t="s">
        <v>1836</v>
      </c>
      <c r="F314" s="35" t="s">
        <v>1837</v>
      </c>
      <c r="G314" s="35" t="s">
        <v>197</v>
      </c>
      <c r="H314" s="35" t="s">
        <v>355</v>
      </c>
      <c r="I314" s="34" t="s">
        <v>1838</v>
      </c>
      <c r="J314" s="34"/>
      <c r="K314" s="36" t="s">
        <v>707</v>
      </c>
      <c r="L314" s="36">
        <v>20</v>
      </c>
      <c r="M314" s="37" t="s">
        <v>1839</v>
      </c>
      <c r="N314" s="37" t="s">
        <v>1755</v>
      </c>
      <c r="O314" s="38">
        <v>1</v>
      </c>
      <c r="P314" s="38"/>
      <c r="Q314" s="35"/>
      <c r="S314" s="1">
        <f t="shared" si="120"/>
        <v>0</v>
      </c>
      <c r="T314" s="1">
        <f t="shared" si="121"/>
        <v>0</v>
      </c>
      <c r="U314" s="1">
        <f t="shared" si="122"/>
        <v>0</v>
      </c>
      <c r="V314" s="1">
        <f t="shared" si="123"/>
        <v>0</v>
      </c>
      <c r="W314" s="1">
        <f t="shared" si="124"/>
        <v>0</v>
      </c>
      <c r="X314" s="1">
        <f t="shared" si="125"/>
        <v>0</v>
      </c>
      <c r="Y314" s="1">
        <f t="shared" si="126"/>
        <v>0</v>
      </c>
      <c r="Z314" s="1">
        <f t="shared" si="127"/>
        <v>0</v>
      </c>
      <c r="AA314" s="1">
        <f t="shared" si="128"/>
        <v>0</v>
      </c>
      <c r="AB314" s="1">
        <f t="shared" si="129"/>
        <v>0</v>
      </c>
      <c r="AD314" s="1">
        <f t="shared" si="130"/>
        <v>0</v>
      </c>
      <c r="AE314" s="1">
        <f t="shared" si="131"/>
        <v>1</v>
      </c>
      <c r="AF314" s="1">
        <f t="shared" si="116"/>
        <v>0</v>
      </c>
      <c r="AG314" s="1">
        <f t="shared" si="117"/>
        <v>1</v>
      </c>
      <c r="AH314" s="1">
        <f t="shared" si="118"/>
        <v>0</v>
      </c>
      <c r="AI314" s="1">
        <f t="shared" si="119"/>
        <v>1</v>
      </c>
    </row>
    <row r="315" spans="1:35" ht="14.25" customHeight="1" x14ac:dyDescent="0.25">
      <c r="A315" s="15">
        <v>0</v>
      </c>
      <c r="B315" s="15">
        <v>2</v>
      </c>
      <c r="C315" s="15">
        <v>2</v>
      </c>
      <c r="D315" s="16" t="s">
        <v>1583</v>
      </c>
      <c r="E315" s="16" t="s">
        <v>1584</v>
      </c>
      <c r="F315" s="16" t="s">
        <v>1586</v>
      </c>
      <c r="G315" s="16" t="s">
        <v>1587</v>
      </c>
      <c r="H315" s="16" t="s">
        <v>355</v>
      </c>
      <c r="I315" s="15" t="s">
        <v>1585</v>
      </c>
      <c r="J315" s="15">
        <v>99</v>
      </c>
      <c r="K315" s="10" t="s">
        <v>707</v>
      </c>
      <c r="L315" s="10">
        <v>18</v>
      </c>
      <c r="M315" s="19" t="s">
        <v>1588</v>
      </c>
      <c r="N315" s="17"/>
      <c r="Q315" s="16"/>
      <c r="S315" s="1">
        <f t="shared" si="120"/>
        <v>0</v>
      </c>
      <c r="T315" s="1">
        <f t="shared" si="121"/>
        <v>0</v>
      </c>
      <c r="U315" s="1">
        <f t="shared" si="122"/>
        <v>0</v>
      </c>
      <c r="V315" s="1">
        <f t="shared" si="123"/>
        <v>0</v>
      </c>
      <c r="W315" s="1">
        <f t="shared" si="124"/>
        <v>0</v>
      </c>
      <c r="X315" s="1">
        <f t="shared" si="125"/>
        <v>0</v>
      </c>
      <c r="Y315" s="1">
        <f t="shared" si="126"/>
        <v>0</v>
      </c>
      <c r="Z315" s="1">
        <f t="shared" si="127"/>
        <v>0</v>
      </c>
      <c r="AA315" s="1">
        <f t="shared" si="128"/>
        <v>0</v>
      </c>
      <c r="AB315" s="1">
        <f t="shared" si="129"/>
        <v>0</v>
      </c>
      <c r="AD315" s="1">
        <f t="shared" si="130"/>
        <v>0</v>
      </c>
      <c r="AE315" s="1">
        <f t="shared" si="131"/>
        <v>0</v>
      </c>
      <c r="AF315" s="1">
        <f t="shared" si="116"/>
        <v>0</v>
      </c>
      <c r="AG315" s="1">
        <f t="shared" si="117"/>
        <v>0</v>
      </c>
      <c r="AH315" s="1">
        <f t="shared" si="118"/>
        <v>0</v>
      </c>
      <c r="AI315" s="1">
        <f t="shared" si="119"/>
        <v>1</v>
      </c>
    </row>
    <row r="316" spans="1:35" ht="14.25" customHeight="1" x14ac:dyDescent="0.25">
      <c r="A316" s="52">
        <v>0</v>
      </c>
      <c r="B316" s="52">
        <v>2</v>
      </c>
      <c r="C316" s="52">
        <v>2</v>
      </c>
      <c r="D316" s="53" t="s">
        <v>64</v>
      </c>
      <c r="E316" s="53" t="s">
        <v>33</v>
      </c>
      <c r="F316" s="53" t="s">
        <v>242</v>
      </c>
      <c r="G316" s="53" t="s">
        <v>243</v>
      </c>
      <c r="H316" s="53" t="s">
        <v>355</v>
      </c>
      <c r="I316" s="52" t="s">
        <v>407</v>
      </c>
      <c r="J316" s="52">
        <v>1</v>
      </c>
      <c r="K316" s="54" t="s">
        <v>965</v>
      </c>
      <c r="L316" s="54" t="s">
        <v>720</v>
      </c>
      <c r="M316" s="55" t="s">
        <v>721</v>
      </c>
      <c r="N316" s="55" t="s">
        <v>1750</v>
      </c>
      <c r="O316" s="56">
        <v>1</v>
      </c>
      <c r="P316" s="56"/>
      <c r="Q316" s="53"/>
      <c r="S316" s="1">
        <f t="shared" si="120"/>
        <v>1</v>
      </c>
      <c r="T316" s="1">
        <f t="shared" si="121"/>
        <v>0</v>
      </c>
      <c r="U316" s="1">
        <f t="shared" si="122"/>
        <v>0</v>
      </c>
      <c r="V316" s="1">
        <f t="shared" si="123"/>
        <v>0</v>
      </c>
      <c r="W316" s="1">
        <f t="shared" si="124"/>
        <v>0</v>
      </c>
      <c r="X316" s="1">
        <f t="shared" si="125"/>
        <v>0</v>
      </c>
      <c r="Y316" s="1">
        <f t="shared" si="126"/>
        <v>0</v>
      </c>
      <c r="Z316" s="1">
        <f t="shared" si="127"/>
        <v>0</v>
      </c>
      <c r="AA316" s="1">
        <f t="shared" si="128"/>
        <v>0</v>
      </c>
      <c r="AB316" s="1">
        <f t="shared" si="129"/>
        <v>0</v>
      </c>
      <c r="AD316" s="1">
        <f t="shared" si="130"/>
        <v>0</v>
      </c>
      <c r="AE316" s="1">
        <f t="shared" si="131"/>
        <v>1</v>
      </c>
      <c r="AF316" s="1">
        <f t="shared" si="116"/>
        <v>0</v>
      </c>
      <c r="AG316" s="1">
        <f t="shared" si="117"/>
        <v>1</v>
      </c>
      <c r="AH316" s="1">
        <f t="shared" si="118"/>
        <v>0</v>
      </c>
      <c r="AI316" s="1">
        <f t="shared" si="119"/>
        <v>1</v>
      </c>
    </row>
    <row r="317" spans="1:35" ht="14.25" customHeight="1" x14ac:dyDescent="0.25">
      <c r="A317" s="52">
        <v>0</v>
      </c>
      <c r="B317" s="52">
        <v>2</v>
      </c>
      <c r="C317" s="52">
        <v>2</v>
      </c>
      <c r="D317" s="53" t="s">
        <v>62</v>
      </c>
      <c r="E317" s="53" t="s">
        <v>1090</v>
      </c>
      <c r="F317" s="53" t="s">
        <v>235</v>
      </c>
      <c r="G317" s="53" t="s">
        <v>236</v>
      </c>
      <c r="H317" s="53" t="s">
        <v>355</v>
      </c>
      <c r="I317" s="52" t="s">
        <v>1372</v>
      </c>
      <c r="J317" s="52">
        <v>99</v>
      </c>
      <c r="K317" s="54" t="s">
        <v>959</v>
      </c>
      <c r="L317" s="54" t="s">
        <v>720</v>
      </c>
      <c r="M317" s="55" t="s">
        <v>722</v>
      </c>
      <c r="N317" s="55" t="s">
        <v>1750</v>
      </c>
      <c r="O317" s="56">
        <v>1</v>
      </c>
      <c r="P317" s="56"/>
      <c r="Q317" s="53"/>
      <c r="S317" s="1">
        <f t="shared" si="120"/>
        <v>0</v>
      </c>
      <c r="T317" s="1">
        <f t="shared" si="121"/>
        <v>0</v>
      </c>
      <c r="U317" s="1">
        <f t="shared" si="122"/>
        <v>0</v>
      </c>
      <c r="V317" s="1">
        <f t="shared" si="123"/>
        <v>0</v>
      </c>
      <c r="W317" s="1">
        <f t="shared" si="124"/>
        <v>0</v>
      </c>
      <c r="X317" s="1">
        <f t="shared" si="125"/>
        <v>0</v>
      </c>
      <c r="Y317" s="1">
        <f t="shared" si="126"/>
        <v>0</v>
      </c>
      <c r="Z317" s="1">
        <f t="shared" si="127"/>
        <v>0</v>
      </c>
      <c r="AA317" s="1">
        <f t="shared" si="128"/>
        <v>0</v>
      </c>
      <c r="AB317" s="1">
        <f t="shared" si="129"/>
        <v>0</v>
      </c>
      <c r="AD317" s="1">
        <f t="shared" si="130"/>
        <v>0</v>
      </c>
      <c r="AE317" s="1">
        <f t="shared" si="131"/>
        <v>1</v>
      </c>
      <c r="AF317" s="1">
        <f t="shared" si="116"/>
        <v>0</v>
      </c>
      <c r="AG317" s="1">
        <f t="shared" si="117"/>
        <v>1</v>
      </c>
      <c r="AH317" s="1">
        <f t="shared" si="118"/>
        <v>0</v>
      </c>
      <c r="AI317" s="1">
        <f t="shared" si="119"/>
        <v>1</v>
      </c>
    </row>
    <row r="318" spans="1:35" ht="14.25" customHeight="1" x14ac:dyDescent="0.25">
      <c r="A318" s="34">
        <v>0</v>
      </c>
      <c r="B318" s="34">
        <v>2</v>
      </c>
      <c r="C318" s="34">
        <v>2</v>
      </c>
      <c r="D318" s="35" t="s">
        <v>1723</v>
      </c>
      <c r="E318" s="35" t="s">
        <v>1725</v>
      </c>
      <c r="F318" s="35" t="s">
        <v>1724</v>
      </c>
      <c r="G318" s="35"/>
      <c r="H318" s="35" t="s">
        <v>355</v>
      </c>
      <c r="I318" s="34" t="s">
        <v>1726</v>
      </c>
      <c r="J318" s="34"/>
      <c r="K318" s="36" t="s">
        <v>707</v>
      </c>
      <c r="L318" s="36"/>
      <c r="M318" s="37"/>
      <c r="N318" s="37" t="s">
        <v>1734</v>
      </c>
      <c r="O318" s="38">
        <v>1</v>
      </c>
      <c r="P318" s="38">
        <v>1</v>
      </c>
      <c r="Q318" s="35"/>
      <c r="S318" s="1">
        <f t="shared" si="120"/>
        <v>0</v>
      </c>
      <c r="T318" s="1">
        <f t="shared" si="121"/>
        <v>0</v>
      </c>
      <c r="U318" s="1">
        <f t="shared" si="122"/>
        <v>0</v>
      </c>
      <c r="V318" s="1">
        <f t="shared" si="123"/>
        <v>0</v>
      </c>
      <c r="W318" s="1">
        <f t="shared" si="124"/>
        <v>0</v>
      </c>
      <c r="X318" s="1">
        <f t="shared" si="125"/>
        <v>0</v>
      </c>
      <c r="Y318" s="1">
        <f t="shared" si="126"/>
        <v>0</v>
      </c>
      <c r="Z318" s="1">
        <f t="shared" si="127"/>
        <v>0</v>
      </c>
      <c r="AA318" s="1">
        <f t="shared" si="128"/>
        <v>0</v>
      </c>
      <c r="AB318" s="1">
        <f t="shared" si="129"/>
        <v>0</v>
      </c>
      <c r="AD318" s="1">
        <f t="shared" si="130"/>
        <v>1</v>
      </c>
      <c r="AE318" s="1">
        <f t="shared" si="131"/>
        <v>0</v>
      </c>
      <c r="AF318" s="1">
        <f t="shared" si="116"/>
        <v>1</v>
      </c>
      <c r="AG318" s="1">
        <f t="shared" si="117"/>
        <v>0</v>
      </c>
      <c r="AH318" s="1">
        <f t="shared" si="118"/>
        <v>1</v>
      </c>
      <c r="AI318" s="1">
        <f t="shared" si="119"/>
        <v>0</v>
      </c>
    </row>
    <row r="319" spans="1:35" ht="14.25" customHeight="1" x14ac:dyDescent="0.25">
      <c r="A319" s="47">
        <v>0</v>
      </c>
      <c r="B319" s="47">
        <v>2</v>
      </c>
      <c r="C319" s="47">
        <v>2</v>
      </c>
      <c r="D319" s="48" t="s">
        <v>791</v>
      </c>
      <c r="E319" s="48" t="s">
        <v>913</v>
      </c>
      <c r="F319" s="48" t="s">
        <v>1578</v>
      </c>
      <c r="G319" s="48" t="s">
        <v>231</v>
      </c>
      <c r="H319" s="48" t="s">
        <v>355</v>
      </c>
      <c r="I319" s="47" t="s">
        <v>1701</v>
      </c>
      <c r="J319" s="47">
        <v>7</v>
      </c>
      <c r="K319" s="49" t="s">
        <v>717</v>
      </c>
      <c r="L319" s="49">
        <v>20</v>
      </c>
      <c r="M319" s="50" t="s">
        <v>39</v>
      </c>
      <c r="N319" s="50" t="s">
        <v>1741</v>
      </c>
      <c r="O319" s="51"/>
      <c r="P319" s="51"/>
      <c r="Q319" s="48"/>
      <c r="S319" s="1">
        <f t="shared" si="120"/>
        <v>0</v>
      </c>
      <c r="T319" s="1">
        <f t="shared" si="121"/>
        <v>0</v>
      </c>
      <c r="U319" s="1">
        <f t="shared" si="122"/>
        <v>0</v>
      </c>
      <c r="V319" s="1">
        <f t="shared" si="123"/>
        <v>0</v>
      </c>
      <c r="W319" s="1">
        <f t="shared" si="124"/>
        <v>0</v>
      </c>
      <c r="X319" s="1">
        <f t="shared" si="125"/>
        <v>0</v>
      </c>
      <c r="Y319" s="1">
        <f t="shared" si="126"/>
        <v>1</v>
      </c>
      <c r="Z319" s="1">
        <f t="shared" si="127"/>
        <v>0</v>
      </c>
      <c r="AA319" s="1">
        <f t="shared" si="128"/>
        <v>0</v>
      </c>
      <c r="AB319" s="1">
        <f t="shared" si="129"/>
        <v>0</v>
      </c>
      <c r="AD319" s="1">
        <f t="shared" si="130"/>
        <v>0</v>
      </c>
      <c r="AE319" s="1">
        <f t="shared" si="131"/>
        <v>0</v>
      </c>
      <c r="AF319" s="1">
        <f t="shared" si="116"/>
        <v>0</v>
      </c>
      <c r="AG319" s="1">
        <f t="shared" si="117"/>
        <v>0</v>
      </c>
      <c r="AH319" s="1">
        <f t="shared" si="118"/>
        <v>0</v>
      </c>
      <c r="AI319" s="1">
        <f t="shared" si="119"/>
        <v>1</v>
      </c>
    </row>
    <row r="320" spans="1:35" ht="14.25" customHeight="1" x14ac:dyDescent="0.25">
      <c r="A320" s="34">
        <v>0</v>
      </c>
      <c r="B320" s="34">
        <v>2</v>
      </c>
      <c r="C320" s="34">
        <v>2</v>
      </c>
      <c r="D320" s="35" t="s">
        <v>856</v>
      </c>
      <c r="E320" s="35" t="s">
        <v>543</v>
      </c>
      <c r="F320" s="35" t="s">
        <v>858</v>
      </c>
      <c r="G320" s="35" t="s">
        <v>221</v>
      </c>
      <c r="H320" s="35" t="s">
        <v>355</v>
      </c>
      <c r="I320" s="34" t="s">
        <v>859</v>
      </c>
      <c r="J320" s="34">
        <v>8</v>
      </c>
      <c r="K320" s="36" t="s">
        <v>717</v>
      </c>
      <c r="L320" s="36" t="s">
        <v>720</v>
      </c>
      <c r="M320" s="37" t="s">
        <v>1420</v>
      </c>
      <c r="N320" s="37" t="s">
        <v>1750</v>
      </c>
      <c r="O320" s="38">
        <v>1</v>
      </c>
      <c r="P320" s="38"/>
      <c r="Q320" s="35"/>
      <c r="S320" s="1">
        <f t="shared" si="120"/>
        <v>0</v>
      </c>
      <c r="T320" s="1">
        <f t="shared" si="121"/>
        <v>0</v>
      </c>
      <c r="U320" s="1">
        <f t="shared" si="122"/>
        <v>0</v>
      </c>
      <c r="V320" s="1">
        <f t="shared" si="123"/>
        <v>0</v>
      </c>
      <c r="W320" s="1">
        <f t="shared" si="124"/>
        <v>0</v>
      </c>
      <c r="X320" s="1">
        <f t="shared" si="125"/>
        <v>0</v>
      </c>
      <c r="Y320" s="1">
        <f t="shared" si="126"/>
        <v>0</v>
      </c>
      <c r="Z320" s="1">
        <f t="shared" si="127"/>
        <v>1</v>
      </c>
      <c r="AA320" s="1">
        <f t="shared" si="128"/>
        <v>0</v>
      </c>
      <c r="AB320" s="1">
        <f t="shared" si="129"/>
        <v>0</v>
      </c>
      <c r="AD320" s="1">
        <f t="shared" si="130"/>
        <v>0</v>
      </c>
      <c r="AE320" s="1">
        <f t="shared" si="131"/>
        <v>1</v>
      </c>
      <c r="AF320" s="1">
        <f t="shared" si="116"/>
        <v>0</v>
      </c>
      <c r="AG320" s="1">
        <f t="shared" si="117"/>
        <v>1</v>
      </c>
      <c r="AH320" s="1">
        <f t="shared" si="118"/>
        <v>0</v>
      </c>
      <c r="AI320" s="1">
        <f t="shared" si="119"/>
        <v>1</v>
      </c>
    </row>
    <row r="321" spans="1:35" ht="14.25" customHeight="1" x14ac:dyDescent="0.25">
      <c r="A321" s="34">
        <v>1</v>
      </c>
      <c r="B321" s="34">
        <v>2</v>
      </c>
      <c r="C321" s="34">
        <v>2</v>
      </c>
      <c r="D321" s="35" t="s">
        <v>856</v>
      </c>
      <c r="E321" s="35" t="s">
        <v>543</v>
      </c>
      <c r="F321" s="35" t="s">
        <v>1360</v>
      </c>
      <c r="G321" s="35" t="s">
        <v>195</v>
      </c>
      <c r="H321" s="35" t="s">
        <v>355</v>
      </c>
      <c r="I321" s="34" t="s">
        <v>857</v>
      </c>
      <c r="J321" s="34">
        <v>9</v>
      </c>
      <c r="K321" s="36" t="s">
        <v>717</v>
      </c>
      <c r="L321" s="36" t="s">
        <v>720</v>
      </c>
      <c r="M321" s="37" t="s">
        <v>1420</v>
      </c>
      <c r="N321" s="37" t="s">
        <v>1750</v>
      </c>
      <c r="O321" s="38">
        <v>1</v>
      </c>
      <c r="P321" s="38"/>
      <c r="Q321" s="35"/>
      <c r="S321" s="1">
        <f t="shared" si="120"/>
        <v>0</v>
      </c>
      <c r="T321" s="1">
        <f t="shared" si="121"/>
        <v>0</v>
      </c>
      <c r="U321" s="1">
        <f t="shared" si="122"/>
        <v>0</v>
      </c>
      <c r="V321" s="1">
        <f t="shared" si="123"/>
        <v>0</v>
      </c>
      <c r="W321" s="1">
        <f t="shared" si="124"/>
        <v>0</v>
      </c>
      <c r="X321" s="1">
        <f t="shared" si="125"/>
        <v>0</v>
      </c>
      <c r="Y321" s="1">
        <f t="shared" si="126"/>
        <v>0</v>
      </c>
      <c r="Z321" s="1">
        <f t="shared" si="127"/>
        <v>0</v>
      </c>
      <c r="AA321" s="1">
        <f t="shared" si="128"/>
        <v>1</v>
      </c>
      <c r="AB321" s="1">
        <f t="shared" si="129"/>
        <v>0</v>
      </c>
      <c r="AD321" s="1">
        <f t="shared" si="130"/>
        <v>0</v>
      </c>
      <c r="AE321" s="1">
        <f t="shared" si="131"/>
        <v>1</v>
      </c>
      <c r="AF321" s="1">
        <f t="shared" si="116"/>
        <v>0</v>
      </c>
      <c r="AG321" s="1">
        <f t="shared" si="117"/>
        <v>0</v>
      </c>
      <c r="AH321" s="1">
        <f t="shared" si="118"/>
        <v>0</v>
      </c>
      <c r="AI321" s="1">
        <f t="shared" si="119"/>
        <v>0</v>
      </c>
    </row>
    <row r="322" spans="1:35" ht="14.25" customHeight="1" x14ac:dyDescent="0.25">
      <c r="A322" s="47">
        <v>0</v>
      </c>
      <c r="B322" s="47">
        <v>2</v>
      </c>
      <c r="C322" s="47">
        <v>2</v>
      </c>
      <c r="D322" s="48" t="s">
        <v>922</v>
      </c>
      <c r="E322" s="48" t="s">
        <v>789</v>
      </c>
      <c r="F322" s="48" t="s">
        <v>790</v>
      </c>
      <c r="G322" s="48" t="s">
        <v>231</v>
      </c>
      <c r="H322" s="48" t="s">
        <v>355</v>
      </c>
      <c r="I322" s="47" t="s">
        <v>792</v>
      </c>
      <c r="J322" s="47">
        <v>7</v>
      </c>
      <c r="K322" s="49" t="s">
        <v>716</v>
      </c>
      <c r="L322" s="49">
        <v>15</v>
      </c>
      <c r="M322" s="50" t="s">
        <v>39</v>
      </c>
      <c r="N322" s="50" t="s">
        <v>1742</v>
      </c>
      <c r="O322" s="51"/>
      <c r="P322" s="51"/>
      <c r="Q322" s="48"/>
      <c r="S322" s="1">
        <f t="shared" si="120"/>
        <v>0</v>
      </c>
      <c r="T322" s="1">
        <f t="shared" si="121"/>
        <v>0</v>
      </c>
      <c r="U322" s="1">
        <f t="shared" si="122"/>
        <v>0</v>
      </c>
      <c r="V322" s="1">
        <f t="shared" si="123"/>
        <v>0</v>
      </c>
      <c r="W322" s="1">
        <f t="shared" si="124"/>
        <v>0</v>
      </c>
      <c r="X322" s="1">
        <f t="shared" si="125"/>
        <v>0</v>
      </c>
      <c r="Y322" s="1">
        <f t="shared" si="126"/>
        <v>1</v>
      </c>
      <c r="Z322" s="1">
        <f t="shared" si="127"/>
        <v>0</v>
      </c>
      <c r="AA322" s="1">
        <f t="shared" si="128"/>
        <v>0</v>
      </c>
      <c r="AB322" s="1">
        <f t="shared" si="129"/>
        <v>0</v>
      </c>
      <c r="AD322" s="1">
        <f t="shared" si="130"/>
        <v>0</v>
      </c>
      <c r="AE322" s="1">
        <f t="shared" si="131"/>
        <v>0</v>
      </c>
      <c r="AF322" s="1">
        <f t="shared" si="116"/>
        <v>0</v>
      </c>
      <c r="AG322" s="1">
        <f t="shared" si="117"/>
        <v>0</v>
      </c>
      <c r="AH322" s="1">
        <f t="shared" si="118"/>
        <v>0</v>
      </c>
      <c r="AI322" s="1">
        <f t="shared" si="119"/>
        <v>1</v>
      </c>
    </row>
    <row r="323" spans="1:35" ht="14.25" customHeight="1" x14ac:dyDescent="0.25">
      <c r="A323" s="47">
        <v>0</v>
      </c>
      <c r="B323" s="47">
        <v>2</v>
      </c>
      <c r="C323" s="47">
        <v>2</v>
      </c>
      <c r="D323" s="48" t="s">
        <v>83</v>
      </c>
      <c r="E323" s="48" t="s">
        <v>158</v>
      </c>
      <c r="F323" s="68" t="s">
        <v>1879</v>
      </c>
      <c r="G323" s="48" t="s">
        <v>210</v>
      </c>
      <c r="H323" s="48" t="s">
        <v>355</v>
      </c>
      <c r="I323" s="47" t="s">
        <v>433</v>
      </c>
      <c r="J323" s="47">
        <v>99</v>
      </c>
      <c r="K323" s="49" t="s">
        <v>958</v>
      </c>
      <c r="L323" s="49" t="s">
        <v>708</v>
      </c>
      <c r="M323" s="50" t="s">
        <v>723</v>
      </c>
      <c r="N323" s="50" t="s">
        <v>1742</v>
      </c>
      <c r="O323" s="51"/>
      <c r="P323" s="51"/>
      <c r="Q323" s="48"/>
      <c r="S323" s="1">
        <f t="shared" si="120"/>
        <v>0</v>
      </c>
      <c r="T323" s="1">
        <f t="shared" si="121"/>
        <v>0</v>
      </c>
      <c r="U323" s="1">
        <f t="shared" si="122"/>
        <v>0</v>
      </c>
      <c r="V323" s="1">
        <f t="shared" si="123"/>
        <v>0</v>
      </c>
      <c r="W323" s="1">
        <f t="shared" si="124"/>
        <v>0</v>
      </c>
      <c r="X323" s="1">
        <f t="shared" si="125"/>
        <v>0</v>
      </c>
      <c r="Y323" s="1">
        <f t="shared" si="126"/>
        <v>0</v>
      </c>
      <c r="Z323" s="1">
        <f t="shared" si="127"/>
        <v>0</v>
      </c>
      <c r="AA323" s="1">
        <f t="shared" si="128"/>
        <v>0</v>
      </c>
      <c r="AB323" s="1">
        <f t="shared" si="129"/>
        <v>0</v>
      </c>
      <c r="AD323" s="1">
        <f t="shared" si="130"/>
        <v>0</v>
      </c>
      <c r="AE323" s="1">
        <f t="shared" si="131"/>
        <v>0</v>
      </c>
      <c r="AF323" s="1">
        <f t="shared" si="116"/>
        <v>0</v>
      </c>
      <c r="AG323" s="1">
        <f t="shared" si="117"/>
        <v>0</v>
      </c>
      <c r="AH323" s="1">
        <f t="shared" si="118"/>
        <v>0</v>
      </c>
      <c r="AI323" s="1">
        <f t="shared" si="119"/>
        <v>1</v>
      </c>
    </row>
    <row r="324" spans="1:35" ht="14.25" customHeight="1" x14ac:dyDescent="0.25">
      <c r="A324" s="41">
        <v>0</v>
      </c>
      <c r="B324" s="41">
        <v>2</v>
      </c>
      <c r="C324" s="41">
        <v>2</v>
      </c>
      <c r="D324" s="42" t="s">
        <v>1571</v>
      </c>
      <c r="E324" s="42" t="s">
        <v>1341</v>
      </c>
      <c r="F324" s="42" t="s">
        <v>1572</v>
      </c>
      <c r="G324" s="42" t="s">
        <v>1172</v>
      </c>
      <c r="H324" s="42" t="s">
        <v>355</v>
      </c>
      <c r="I324" s="41" t="s">
        <v>1573</v>
      </c>
      <c r="J324" s="41">
        <v>1</v>
      </c>
      <c r="K324" s="43" t="s">
        <v>717</v>
      </c>
      <c r="L324" s="43" t="s">
        <v>39</v>
      </c>
      <c r="M324" s="44" t="s">
        <v>39</v>
      </c>
      <c r="N324" s="45"/>
      <c r="O324" s="46"/>
      <c r="P324" s="46">
        <v>1</v>
      </c>
      <c r="Q324" s="42"/>
      <c r="S324" s="1">
        <f t="shared" si="120"/>
        <v>1</v>
      </c>
      <c r="T324" s="1">
        <f t="shared" si="121"/>
        <v>0</v>
      </c>
      <c r="U324" s="1">
        <f t="shared" si="122"/>
        <v>0</v>
      </c>
      <c r="V324" s="1">
        <f t="shared" si="123"/>
        <v>0</v>
      </c>
      <c r="W324" s="1">
        <f t="shared" si="124"/>
        <v>0</v>
      </c>
      <c r="X324" s="1">
        <f t="shared" si="125"/>
        <v>0</v>
      </c>
      <c r="Y324" s="1">
        <f t="shared" si="126"/>
        <v>0</v>
      </c>
      <c r="Z324" s="1">
        <f t="shared" si="127"/>
        <v>0</v>
      </c>
      <c r="AA324" s="1">
        <f t="shared" si="128"/>
        <v>0</v>
      </c>
      <c r="AB324" s="1">
        <f t="shared" si="129"/>
        <v>0</v>
      </c>
      <c r="AD324" s="1">
        <f t="shared" si="130"/>
        <v>0</v>
      </c>
      <c r="AE324" s="1">
        <f t="shared" si="131"/>
        <v>0</v>
      </c>
      <c r="AF324" s="1">
        <f t="shared" si="116"/>
        <v>0</v>
      </c>
      <c r="AG324" s="1">
        <f t="shared" si="117"/>
        <v>0</v>
      </c>
      <c r="AH324" s="1">
        <f t="shared" si="118"/>
        <v>1</v>
      </c>
      <c r="AI324" s="1">
        <f t="shared" si="119"/>
        <v>0</v>
      </c>
    </row>
    <row r="325" spans="1:35" ht="14.25" customHeight="1" x14ac:dyDescent="0.25">
      <c r="A325" s="34">
        <v>0</v>
      </c>
      <c r="B325" s="34">
        <v>2</v>
      </c>
      <c r="C325" s="34">
        <v>2</v>
      </c>
      <c r="D325" s="35" t="s">
        <v>1751</v>
      </c>
      <c r="E325" s="35" t="s">
        <v>27</v>
      </c>
      <c r="F325" s="35" t="s">
        <v>1048</v>
      </c>
      <c r="G325" s="35" t="s">
        <v>221</v>
      </c>
      <c r="H325" s="35" t="s">
        <v>355</v>
      </c>
      <c r="I325" s="34" t="s">
        <v>1049</v>
      </c>
      <c r="J325" s="34">
        <v>8</v>
      </c>
      <c r="K325" s="36" t="s">
        <v>717</v>
      </c>
      <c r="L325" s="36">
        <v>25</v>
      </c>
      <c r="M325" s="37" t="s">
        <v>1752</v>
      </c>
      <c r="N325" s="37" t="s">
        <v>1734</v>
      </c>
      <c r="O325" s="38">
        <v>1</v>
      </c>
      <c r="P325" s="38">
        <v>1</v>
      </c>
      <c r="Q325" s="35"/>
      <c r="S325" s="1">
        <f t="shared" si="120"/>
        <v>0</v>
      </c>
      <c r="T325" s="1">
        <f t="shared" si="121"/>
        <v>0</v>
      </c>
      <c r="U325" s="1">
        <f t="shared" si="122"/>
        <v>0</v>
      </c>
      <c r="V325" s="1">
        <f t="shared" si="123"/>
        <v>0</v>
      </c>
      <c r="W325" s="1">
        <f t="shared" si="124"/>
        <v>0</v>
      </c>
      <c r="X325" s="1">
        <f t="shared" si="125"/>
        <v>0</v>
      </c>
      <c r="Y325" s="1">
        <f t="shared" si="126"/>
        <v>0</v>
      </c>
      <c r="Z325" s="1">
        <f t="shared" si="127"/>
        <v>1</v>
      </c>
      <c r="AA325" s="1">
        <f t="shared" si="128"/>
        <v>0</v>
      </c>
      <c r="AB325" s="1">
        <f t="shared" si="129"/>
        <v>0</v>
      </c>
      <c r="AD325" s="1">
        <f t="shared" si="130"/>
        <v>1</v>
      </c>
      <c r="AE325" s="1">
        <f t="shared" si="131"/>
        <v>0</v>
      </c>
      <c r="AF325" s="1">
        <f t="shared" si="116"/>
        <v>1</v>
      </c>
      <c r="AG325" s="1">
        <f t="shared" si="117"/>
        <v>0</v>
      </c>
      <c r="AH325" s="1">
        <f t="shared" si="118"/>
        <v>1</v>
      </c>
      <c r="AI325" s="1">
        <f t="shared" si="119"/>
        <v>0</v>
      </c>
    </row>
    <row r="326" spans="1:35" ht="14.25" customHeight="1" x14ac:dyDescent="0.25">
      <c r="A326" s="34">
        <v>0</v>
      </c>
      <c r="B326" s="34">
        <v>2</v>
      </c>
      <c r="C326" s="34">
        <v>2</v>
      </c>
      <c r="D326" s="35" t="s">
        <v>45</v>
      </c>
      <c r="E326" s="35" t="s">
        <v>44</v>
      </c>
      <c r="F326" s="35" t="s">
        <v>672</v>
      </c>
      <c r="G326" s="35" t="s">
        <v>181</v>
      </c>
      <c r="H326" s="35" t="s">
        <v>355</v>
      </c>
      <c r="I326" s="34" t="s">
        <v>953</v>
      </c>
      <c r="J326" s="34">
        <v>10</v>
      </c>
      <c r="K326" s="36" t="s">
        <v>717</v>
      </c>
      <c r="L326" s="36" t="s">
        <v>724</v>
      </c>
      <c r="M326" s="37" t="s">
        <v>725</v>
      </c>
      <c r="N326" s="37" t="s">
        <v>1734</v>
      </c>
      <c r="O326" s="38">
        <v>1</v>
      </c>
      <c r="P326" s="38">
        <v>1</v>
      </c>
      <c r="Q326" s="35"/>
      <c r="S326" s="1">
        <f t="shared" si="120"/>
        <v>0</v>
      </c>
      <c r="T326" s="1">
        <f t="shared" si="121"/>
        <v>0</v>
      </c>
      <c r="U326" s="1">
        <f t="shared" si="122"/>
        <v>0</v>
      </c>
      <c r="V326" s="1">
        <f t="shared" si="123"/>
        <v>0</v>
      </c>
      <c r="W326" s="1">
        <f t="shared" si="124"/>
        <v>0</v>
      </c>
      <c r="X326" s="1">
        <f t="shared" si="125"/>
        <v>0</v>
      </c>
      <c r="Y326" s="1">
        <f t="shared" si="126"/>
        <v>0</v>
      </c>
      <c r="Z326" s="1">
        <f t="shared" si="127"/>
        <v>0</v>
      </c>
      <c r="AA326" s="1">
        <f t="shared" si="128"/>
        <v>0</v>
      </c>
      <c r="AB326" s="1">
        <f t="shared" si="129"/>
        <v>1</v>
      </c>
      <c r="AD326" s="1">
        <f t="shared" si="130"/>
        <v>1</v>
      </c>
      <c r="AE326" s="1">
        <f t="shared" si="131"/>
        <v>0</v>
      </c>
      <c r="AF326" s="1">
        <f t="shared" si="116"/>
        <v>1</v>
      </c>
      <c r="AG326" s="1">
        <f t="shared" si="117"/>
        <v>0</v>
      </c>
      <c r="AH326" s="1">
        <f t="shared" si="118"/>
        <v>1</v>
      </c>
      <c r="AI326" s="1">
        <f t="shared" si="119"/>
        <v>0</v>
      </c>
    </row>
    <row r="327" spans="1:35" ht="14.25" customHeight="1" x14ac:dyDescent="0.25">
      <c r="A327" s="34">
        <v>0</v>
      </c>
      <c r="B327" s="34">
        <v>2</v>
      </c>
      <c r="C327" s="34">
        <v>2</v>
      </c>
      <c r="D327" s="35" t="s">
        <v>1455</v>
      </c>
      <c r="E327" s="35" t="s">
        <v>1660</v>
      </c>
      <c r="F327" s="35" t="s">
        <v>1675</v>
      </c>
      <c r="G327" s="35" t="s">
        <v>231</v>
      </c>
      <c r="H327" s="35" t="s">
        <v>355</v>
      </c>
      <c r="I327" s="34" t="s">
        <v>1456</v>
      </c>
      <c r="J327" s="34">
        <v>99</v>
      </c>
      <c r="K327" s="36" t="s">
        <v>959</v>
      </c>
      <c r="L327" s="36">
        <v>20</v>
      </c>
      <c r="M327" s="37" t="s">
        <v>39</v>
      </c>
      <c r="N327" s="37" t="s">
        <v>1734</v>
      </c>
      <c r="O327" s="38">
        <v>1</v>
      </c>
      <c r="P327" s="38">
        <v>1</v>
      </c>
      <c r="Q327" s="35"/>
      <c r="S327" s="1">
        <f t="shared" si="120"/>
        <v>0</v>
      </c>
      <c r="T327" s="1">
        <f t="shared" si="121"/>
        <v>0</v>
      </c>
      <c r="U327" s="1">
        <f t="shared" si="122"/>
        <v>0</v>
      </c>
      <c r="V327" s="1">
        <f t="shared" si="123"/>
        <v>0</v>
      </c>
      <c r="W327" s="1">
        <f t="shared" si="124"/>
        <v>0</v>
      </c>
      <c r="X327" s="1">
        <f t="shared" si="125"/>
        <v>0</v>
      </c>
      <c r="Y327" s="1">
        <f t="shared" si="126"/>
        <v>0</v>
      </c>
      <c r="Z327" s="1">
        <f t="shared" si="127"/>
        <v>0</v>
      </c>
      <c r="AA327" s="1">
        <f t="shared" si="128"/>
        <v>0</v>
      </c>
      <c r="AB327" s="1">
        <f t="shared" si="129"/>
        <v>0</v>
      </c>
      <c r="AD327" s="1">
        <f t="shared" si="130"/>
        <v>1</v>
      </c>
      <c r="AE327" s="1">
        <f t="shared" si="131"/>
        <v>0</v>
      </c>
      <c r="AF327" s="1">
        <f t="shared" si="116"/>
        <v>1</v>
      </c>
      <c r="AG327" s="1">
        <f t="shared" si="117"/>
        <v>0</v>
      </c>
      <c r="AH327" s="1">
        <f t="shared" si="118"/>
        <v>1</v>
      </c>
      <c r="AI327" s="1">
        <f t="shared" si="119"/>
        <v>0</v>
      </c>
    </row>
    <row r="328" spans="1:35" ht="14.25" customHeight="1" x14ac:dyDescent="0.25">
      <c r="A328" s="70">
        <v>0</v>
      </c>
      <c r="B328" s="70">
        <v>2</v>
      </c>
      <c r="C328" s="70">
        <v>2</v>
      </c>
      <c r="D328" s="57" t="s">
        <v>2000</v>
      </c>
      <c r="E328" s="57" t="s">
        <v>2001</v>
      </c>
      <c r="F328" s="57" t="s">
        <v>2002</v>
      </c>
      <c r="G328" s="57" t="s">
        <v>180</v>
      </c>
      <c r="H328" s="57" t="s">
        <v>355</v>
      </c>
      <c r="I328" s="70" t="s">
        <v>2003</v>
      </c>
      <c r="J328" s="70"/>
      <c r="K328" s="70" t="s">
        <v>707</v>
      </c>
      <c r="L328" s="70"/>
      <c r="M328" s="57"/>
      <c r="N328" s="57"/>
      <c r="O328" s="71"/>
      <c r="P328" s="71">
        <v>1</v>
      </c>
      <c r="Q328" s="57"/>
      <c r="S328" s="1">
        <f t="shared" si="120"/>
        <v>0</v>
      </c>
      <c r="T328" s="1">
        <f t="shared" si="121"/>
        <v>0</v>
      </c>
      <c r="U328" s="1">
        <f t="shared" si="122"/>
        <v>0</v>
      </c>
      <c r="V328" s="1">
        <f t="shared" si="123"/>
        <v>0</v>
      </c>
      <c r="W328" s="1">
        <f t="shared" si="124"/>
        <v>0</v>
      </c>
      <c r="X328" s="1">
        <f t="shared" si="125"/>
        <v>0</v>
      </c>
      <c r="Y328" s="1">
        <f t="shared" si="126"/>
        <v>0</v>
      </c>
      <c r="Z328" s="1">
        <f t="shared" si="127"/>
        <v>0</v>
      </c>
      <c r="AA328" s="1">
        <f t="shared" si="128"/>
        <v>0</v>
      </c>
      <c r="AB328" s="1">
        <f t="shared" si="129"/>
        <v>0</v>
      </c>
      <c r="AD328" s="1">
        <f t="shared" si="130"/>
        <v>0</v>
      </c>
      <c r="AE328" s="1">
        <f t="shared" si="131"/>
        <v>0</v>
      </c>
      <c r="AF328" s="1">
        <f t="shared" si="116"/>
        <v>0</v>
      </c>
      <c r="AG328" s="1">
        <f t="shared" si="117"/>
        <v>0</v>
      </c>
      <c r="AH328" s="1">
        <f t="shared" si="118"/>
        <v>1</v>
      </c>
      <c r="AI328" s="1">
        <f t="shared" si="119"/>
        <v>0</v>
      </c>
    </row>
    <row r="329" spans="1:35" ht="14.25" customHeight="1" x14ac:dyDescent="0.25">
      <c r="A329" s="52">
        <v>0</v>
      </c>
      <c r="B329" s="52">
        <v>2</v>
      </c>
      <c r="C329" s="52">
        <v>2</v>
      </c>
      <c r="D329" s="53" t="s">
        <v>608</v>
      </c>
      <c r="E329" s="53" t="s">
        <v>609</v>
      </c>
      <c r="F329" s="53" t="s">
        <v>610</v>
      </c>
      <c r="G329" s="53" t="s">
        <v>258</v>
      </c>
      <c r="H329" s="53" t="s">
        <v>355</v>
      </c>
      <c r="I329" s="52" t="s">
        <v>611</v>
      </c>
      <c r="J329" s="52">
        <v>99</v>
      </c>
      <c r="K329" s="54" t="s">
        <v>959</v>
      </c>
      <c r="L329" s="54" t="s">
        <v>708</v>
      </c>
      <c r="M329" s="55" t="s">
        <v>1421</v>
      </c>
      <c r="N329" s="55" t="s">
        <v>1750</v>
      </c>
      <c r="O329" s="56">
        <v>1</v>
      </c>
      <c r="P329" s="56"/>
      <c r="Q329" s="53"/>
      <c r="S329" s="1">
        <f t="shared" si="120"/>
        <v>0</v>
      </c>
      <c r="T329" s="1">
        <f t="shared" si="121"/>
        <v>0</v>
      </c>
      <c r="U329" s="1">
        <f t="shared" si="122"/>
        <v>0</v>
      </c>
      <c r="V329" s="1">
        <f t="shared" si="123"/>
        <v>0</v>
      </c>
      <c r="W329" s="1">
        <f t="shared" si="124"/>
        <v>0</v>
      </c>
      <c r="X329" s="1">
        <f t="shared" si="125"/>
        <v>0</v>
      </c>
      <c r="Y329" s="1">
        <f t="shared" si="126"/>
        <v>0</v>
      </c>
      <c r="Z329" s="1">
        <f t="shared" si="127"/>
        <v>0</v>
      </c>
      <c r="AA329" s="1">
        <f t="shared" si="128"/>
        <v>0</v>
      </c>
      <c r="AB329" s="1">
        <f t="shared" si="129"/>
        <v>0</v>
      </c>
      <c r="AD329" s="1">
        <f t="shared" si="130"/>
        <v>0</v>
      </c>
      <c r="AE329" s="1">
        <f t="shared" si="131"/>
        <v>1</v>
      </c>
      <c r="AF329" s="1">
        <f t="shared" si="116"/>
        <v>0</v>
      </c>
      <c r="AG329" s="1">
        <f t="shared" si="117"/>
        <v>1</v>
      </c>
      <c r="AH329" s="1">
        <f t="shared" si="118"/>
        <v>0</v>
      </c>
      <c r="AI329" s="1">
        <f t="shared" si="119"/>
        <v>1</v>
      </c>
    </row>
    <row r="330" spans="1:35" ht="14.25" customHeight="1" x14ac:dyDescent="0.25">
      <c r="A330" s="34">
        <v>0</v>
      </c>
      <c r="B330" s="34">
        <v>2</v>
      </c>
      <c r="C330" s="34">
        <v>2</v>
      </c>
      <c r="D330" s="35" t="s">
        <v>1932</v>
      </c>
      <c r="E330" s="35" t="s">
        <v>1933</v>
      </c>
      <c r="F330" s="35" t="s">
        <v>1934</v>
      </c>
      <c r="G330" s="35" t="s">
        <v>185</v>
      </c>
      <c r="H330" s="35" t="s">
        <v>355</v>
      </c>
      <c r="I330" s="34" t="s">
        <v>1936</v>
      </c>
      <c r="J330" s="34">
        <v>99</v>
      </c>
      <c r="K330" s="36" t="s">
        <v>707</v>
      </c>
      <c r="L330" s="36"/>
      <c r="M330" s="37"/>
      <c r="N330" s="37" t="s">
        <v>1734</v>
      </c>
      <c r="O330" s="38">
        <v>1</v>
      </c>
      <c r="P330" s="38">
        <v>1</v>
      </c>
      <c r="Q330" s="35" t="s">
        <v>1935</v>
      </c>
      <c r="S330" s="1">
        <f t="shared" si="120"/>
        <v>0</v>
      </c>
      <c r="T330" s="1">
        <f t="shared" si="121"/>
        <v>0</v>
      </c>
      <c r="U330" s="1">
        <f t="shared" si="122"/>
        <v>0</v>
      </c>
      <c r="V330" s="1">
        <f t="shared" si="123"/>
        <v>0</v>
      </c>
      <c r="W330" s="1">
        <f t="shared" si="124"/>
        <v>0</v>
      </c>
      <c r="X330" s="1">
        <f t="shared" si="125"/>
        <v>0</v>
      </c>
      <c r="Y330" s="1">
        <f t="shared" si="126"/>
        <v>0</v>
      </c>
      <c r="Z330" s="1">
        <f t="shared" si="127"/>
        <v>0</v>
      </c>
      <c r="AA330" s="1">
        <f t="shared" si="128"/>
        <v>0</v>
      </c>
      <c r="AB330" s="1">
        <f t="shared" si="129"/>
        <v>0</v>
      </c>
      <c r="AD330" s="1">
        <f t="shared" si="130"/>
        <v>1</v>
      </c>
      <c r="AE330" s="1">
        <f t="shared" si="131"/>
        <v>0</v>
      </c>
      <c r="AF330" s="1">
        <f t="shared" si="116"/>
        <v>1</v>
      </c>
      <c r="AG330" s="1">
        <f t="shared" si="117"/>
        <v>0</v>
      </c>
      <c r="AH330" s="1">
        <f t="shared" si="118"/>
        <v>1</v>
      </c>
      <c r="AI330" s="1">
        <f t="shared" si="119"/>
        <v>0</v>
      </c>
    </row>
    <row r="331" spans="1:35" ht="14.25" customHeight="1" x14ac:dyDescent="0.25">
      <c r="A331" s="47">
        <v>0</v>
      </c>
      <c r="B331" s="47">
        <v>2</v>
      </c>
      <c r="C331" s="47">
        <v>2</v>
      </c>
      <c r="D331" s="48" t="s">
        <v>1650</v>
      </c>
      <c r="E331" s="48" t="s">
        <v>1175</v>
      </c>
      <c r="F331" s="48" t="s">
        <v>1681</v>
      </c>
      <c r="G331" s="48" t="s">
        <v>181</v>
      </c>
      <c r="H331" s="48" t="s">
        <v>355</v>
      </c>
      <c r="I331" s="47" t="s">
        <v>1501</v>
      </c>
      <c r="J331" s="47">
        <v>10</v>
      </c>
      <c r="K331" s="49" t="s">
        <v>716</v>
      </c>
      <c r="L331" s="49">
        <v>15</v>
      </c>
      <c r="M331" s="50" t="s">
        <v>39</v>
      </c>
      <c r="N331" s="50" t="s">
        <v>1747</v>
      </c>
      <c r="O331" s="51"/>
      <c r="P331" s="51"/>
      <c r="Q331" s="48"/>
      <c r="S331" s="1">
        <f t="shared" si="120"/>
        <v>0</v>
      </c>
      <c r="T331" s="1">
        <f t="shared" si="121"/>
        <v>0</v>
      </c>
      <c r="U331" s="1">
        <f t="shared" si="122"/>
        <v>0</v>
      </c>
      <c r="V331" s="1">
        <f t="shared" si="123"/>
        <v>0</v>
      </c>
      <c r="W331" s="1">
        <f t="shared" si="124"/>
        <v>0</v>
      </c>
      <c r="X331" s="1">
        <f t="shared" si="125"/>
        <v>0</v>
      </c>
      <c r="Y331" s="1">
        <f t="shared" si="126"/>
        <v>0</v>
      </c>
      <c r="Z331" s="1">
        <f t="shared" si="127"/>
        <v>0</v>
      </c>
      <c r="AA331" s="1">
        <f t="shared" si="128"/>
        <v>0</v>
      </c>
      <c r="AB331" s="1">
        <f t="shared" si="129"/>
        <v>1</v>
      </c>
      <c r="AD331" s="1">
        <f t="shared" si="130"/>
        <v>0</v>
      </c>
      <c r="AE331" s="1">
        <f t="shared" si="131"/>
        <v>0</v>
      </c>
      <c r="AF331" s="1">
        <f t="shared" ref="AF331:AF394" si="132">+O331*P331*(1-A331)</f>
        <v>0</v>
      </c>
      <c r="AG331" s="1">
        <f t="shared" ref="AG331:AG394" si="133">O331*(1-P331)*(1-A331)</f>
        <v>0</v>
      </c>
      <c r="AH331" s="1">
        <f t="shared" ref="AH331:AH394" si="134">+P331*(1-A331)</f>
        <v>0</v>
      </c>
      <c r="AI331" s="1">
        <f t="shared" ref="AI331:AI394" si="135">+(1-A331)*(1-P331)</f>
        <v>1</v>
      </c>
    </row>
    <row r="332" spans="1:35" ht="14.25" customHeight="1" x14ac:dyDescent="0.25">
      <c r="A332" s="47">
        <v>0</v>
      </c>
      <c r="B332" s="47">
        <v>2</v>
      </c>
      <c r="C332" s="47">
        <v>2</v>
      </c>
      <c r="D332" s="48" t="s">
        <v>866</v>
      </c>
      <c r="E332" s="48" t="s">
        <v>546</v>
      </c>
      <c r="F332" s="48" t="s">
        <v>867</v>
      </c>
      <c r="G332" s="48" t="s">
        <v>315</v>
      </c>
      <c r="H332" s="48" t="s">
        <v>355</v>
      </c>
      <c r="I332" s="47" t="s">
        <v>868</v>
      </c>
      <c r="J332" s="47">
        <v>1</v>
      </c>
      <c r="K332" s="49" t="s">
        <v>716</v>
      </c>
      <c r="L332" s="49">
        <v>25</v>
      </c>
      <c r="M332" s="50" t="s">
        <v>39</v>
      </c>
      <c r="N332" s="50" t="s">
        <v>1742</v>
      </c>
      <c r="O332" s="51"/>
      <c r="P332" s="51"/>
      <c r="Q332" s="48"/>
      <c r="S332" s="1">
        <f t="shared" si="120"/>
        <v>1</v>
      </c>
      <c r="T332" s="1">
        <f t="shared" si="121"/>
        <v>0</v>
      </c>
      <c r="U332" s="1">
        <f t="shared" si="122"/>
        <v>0</v>
      </c>
      <c r="V332" s="1">
        <f t="shared" si="123"/>
        <v>0</v>
      </c>
      <c r="W332" s="1">
        <f t="shared" si="124"/>
        <v>0</v>
      </c>
      <c r="X332" s="1">
        <f t="shared" si="125"/>
        <v>0</v>
      </c>
      <c r="Y332" s="1">
        <f t="shared" si="126"/>
        <v>0</v>
      </c>
      <c r="Z332" s="1">
        <f t="shared" si="127"/>
        <v>0</v>
      </c>
      <c r="AA332" s="1">
        <f t="shared" si="128"/>
        <v>0</v>
      </c>
      <c r="AB332" s="1">
        <f t="shared" si="129"/>
        <v>0</v>
      </c>
      <c r="AD332" s="1">
        <f t="shared" si="130"/>
        <v>0</v>
      </c>
      <c r="AE332" s="1">
        <f t="shared" si="131"/>
        <v>0</v>
      </c>
      <c r="AF332" s="1">
        <f t="shared" si="132"/>
        <v>0</v>
      </c>
      <c r="AG332" s="1">
        <f t="shared" si="133"/>
        <v>0</v>
      </c>
      <c r="AH332" s="1">
        <f t="shared" si="134"/>
        <v>0</v>
      </c>
      <c r="AI332" s="1">
        <f t="shared" si="135"/>
        <v>1</v>
      </c>
    </row>
    <row r="333" spans="1:35" ht="14.25" customHeight="1" x14ac:dyDescent="0.25">
      <c r="A333" s="34">
        <v>0</v>
      </c>
      <c r="B333" s="34">
        <v>2</v>
      </c>
      <c r="C333" s="34">
        <v>3</v>
      </c>
      <c r="D333" s="35" t="s">
        <v>570</v>
      </c>
      <c r="E333" s="35" t="s">
        <v>38</v>
      </c>
      <c r="F333" s="35" t="s">
        <v>238</v>
      </c>
      <c r="G333" s="35" t="s">
        <v>541</v>
      </c>
      <c r="H333" s="35" t="s">
        <v>355</v>
      </c>
      <c r="I333" s="34" t="s">
        <v>404</v>
      </c>
      <c r="J333" s="34">
        <v>1</v>
      </c>
      <c r="K333" s="36" t="s">
        <v>716</v>
      </c>
      <c r="L333" s="36" t="s">
        <v>728</v>
      </c>
      <c r="M333" s="37" t="s">
        <v>729</v>
      </c>
      <c r="N333" s="37" t="s">
        <v>1734</v>
      </c>
      <c r="O333" s="38">
        <v>1</v>
      </c>
      <c r="P333" s="38">
        <v>1</v>
      </c>
      <c r="Q333" s="35"/>
      <c r="S333" s="1">
        <f t="shared" si="120"/>
        <v>1</v>
      </c>
      <c r="T333" s="1">
        <f t="shared" si="121"/>
        <v>0</v>
      </c>
      <c r="U333" s="1">
        <f t="shared" si="122"/>
        <v>0</v>
      </c>
      <c r="V333" s="1">
        <f t="shared" si="123"/>
        <v>0</v>
      </c>
      <c r="W333" s="1">
        <f t="shared" si="124"/>
        <v>0</v>
      </c>
      <c r="X333" s="1">
        <f t="shared" si="125"/>
        <v>0</v>
      </c>
      <c r="Y333" s="1">
        <f t="shared" si="126"/>
        <v>0</v>
      </c>
      <c r="Z333" s="1">
        <f t="shared" si="127"/>
        <v>0</v>
      </c>
      <c r="AA333" s="1">
        <f t="shared" si="128"/>
        <v>0</v>
      </c>
      <c r="AB333" s="1">
        <f t="shared" si="129"/>
        <v>0</v>
      </c>
      <c r="AD333" s="1">
        <f t="shared" si="130"/>
        <v>1</v>
      </c>
      <c r="AE333" s="1">
        <f t="shared" si="131"/>
        <v>0</v>
      </c>
      <c r="AF333" s="1">
        <f t="shared" si="132"/>
        <v>1</v>
      </c>
      <c r="AG333" s="1">
        <f t="shared" si="133"/>
        <v>0</v>
      </c>
      <c r="AH333" s="1">
        <f t="shared" si="134"/>
        <v>1</v>
      </c>
      <c r="AI333" s="1">
        <f t="shared" si="135"/>
        <v>0</v>
      </c>
    </row>
    <row r="334" spans="1:35" ht="14.25" customHeight="1" x14ac:dyDescent="0.25">
      <c r="A334" s="47">
        <v>0</v>
      </c>
      <c r="B334" s="47">
        <v>2</v>
      </c>
      <c r="C334" s="47">
        <v>3</v>
      </c>
      <c r="D334" s="48" t="s">
        <v>854</v>
      </c>
      <c r="E334" s="48" t="s">
        <v>34</v>
      </c>
      <c r="F334" s="48" t="s">
        <v>930</v>
      </c>
      <c r="G334" s="48" t="s">
        <v>640</v>
      </c>
      <c r="H334" s="48" t="s">
        <v>355</v>
      </c>
      <c r="I334" s="47" t="s">
        <v>855</v>
      </c>
      <c r="J334" s="47">
        <v>1</v>
      </c>
      <c r="K334" s="49" t="s">
        <v>958</v>
      </c>
      <c r="L334" s="49" t="s">
        <v>733</v>
      </c>
      <c r="M334" s="50" t="s">
        <v>727</v>
      </c>
      <c r="N334" s="50" t="s">
        <v>1742</v>
      </c>
      <c r="O334" s="51"/>
      <c r="P334" s="51"/>
      <c r="Q334" s="48"/>
      <c r="S334" s="1">
        <f t="shared" si="120"/>
        <v>1</v>
      </c>
      <c r="T334" s="1">
        <f t="shared" si="121"/>
        <v>0</v>
      </c>
      <c r="U334" s="1">
        <f t="shared" si="122"/>
        <v>0</v>
      </c>
      <c r="V334" s="1">
        <f t="shared" si="123"/>
        <v>0</v>
      </c>
      <c r="W334" s="1">
        <f t="shared" si="124"/>
        <v>0</v>
      </c>
      <c r="X334" s="1">
        <f t="shared" si="125"/>
        <v>0</v>
      </c>
      <c r="Y334" s="1">
        <f t="shared" si="126"/>
        <v>0</v>
      </c>
      <c r="Z334" s="1">
        <f t="shared" si="127"/>
        <v>0</v>
      </c>
      <c r="AA334" s="1">
        <f t="shared" si="128"/>
        <v>0</v>
      </c>
      <c r="AB334" s="1">
        <f t="shared" si="129"/>
        <v>0</v>
      </c>
      <c r="AD334" s="1">
        <f t="shared" si="130"/>
        <v>0</v>
      </c>
      <c r="AE334" s="1">
        <f t="shared" si="131"/>
        <v>0</v>
      </c>
      <c r="AF334" s="1">
        <f t="shared" si="132"/>
        <v>0</v>
      </c>
      <c r="AG334" s="1">
        <f t="shared" si="133"/>
        <v>0</v>
      </c>
      <c r="AH334" s="1">
        <f t="shared" si="134"/>
        <v>0</v>
      </c>
      <c r="AI334" s="1">
        <f t="shared" si="135"/>
        <v>1</v>
      </c>
    </row>
    <row r="335" spans="1:35" ht="14.25" customHeight="1" x14ac:dyDescent="0.25">
      <c r="A335" s="47">
        <v>0</v>
      </c>
      <c r="B335" s="47">
        <v>2</v>
      </c>
      <c r="C335" s="47">
        <v>3</v>
      </c>
      <c r="D335" s="48" t="s">
        <v>797</v>
      </c>
      <c r="E335" s="48" t="s">
        <v>32</v>
      </c>
      <c r="F335" s="48" t="s">
        <v>798</v>
      </c>
      <c r="G335" s="48" t="s">
        <v>252</v>
      </c>
      <c r="H335" s="48" t="s">
        <v>355</v>
      </c>
      <c r="I335" s="47" t="s">
        <v>799</v>
      </c>
      <c r="J335" s="47">
        <v>99</v>
      </c>
      <c r="K335" s="49" t="s">
        <v>717</v>
      </c>
      <c r="L335" s="49" t="s">
        <v>726</v>
      </c>
      <c r="M335" s="50" t="s">
        <v>727</v>
      </c>
      <c r="N335" s="50" t="s">
        <v>1744</v>
      </c>
      <c r="O335" s="51"/>
      <c r="P335" s="51"/>
      <c r="Q335" s="48"/>
      <c r="S335" s="1">
        <f t="shared" ref="S335:S398" si="136">IF(J335=$S$7,1,0)</f>
        <v>0</v>
      </c>
      <c r="T335" s="1">
        <f t="shared" ref="T335:T398" si="137">IF(J335=$T$7,1,0)</f>
        <v>0</v>
      </c>
      <c r="U335" s="1">
        <f t="shared" ref="U335:U398" si="138">IF(J335=$U$7,1,0)</f>
        <v>0</v>
      </c>
      <c r="V335" s="1">
        <f t="shared" ref="V335:V398" si="139">IF(J335=$V$7,1,0)</f>
        <v>0</v>
      </c>
      <c r="W335" s="1">
        <f t="shared" ref="W335:W398" si="140">IF(J335=$W$7,1,0)</f>
        <v>0</v>
      </c>
      <c r="X335" s="1">
        <f t="shared" ref="X335:X398" si="141">IF(J335=$X$7,1,0)</f>
        <v>0</v>
      </c>
      <c r="Y335" s="1">
        <f t="shared" ref="Y335:Y398" si="142">IF(J335=$Y$7,1,0)</f>
        <v>0</v>
      </c>
      <c r="Z335" s="1">
        <f t="shared" ref="Z335:Z398" si="143">IF(J335=$Z$7,1,0)</f>
        <v>0</v>
      </c>
      <c r="AA335" s="1">
        <f t="shared" ref="AA335:AA398" si="144">IF(J335=$AA$7,1,0)</f>
        <v>0</v>
      </c>
      <c r="AB335" s="1">
        <f t="shared" ref="AB335:AB398" si="145">IF(J335=$AB$7,1,0)</f>
        <v>0</v>
      </c>
      <c r="AD335" s="1">
        <f t="shared" ref="AD335:AD398" si="146">+O335*P335</f>
        <v>0</v>
      </c>
      <c r="AE335" s="1">
        <f t="shared" ref="AE335:AE398" si="147">O335*(1-P335)</f>
        <v>0</v>
      </c>
      <c r="AF335" s="1">
        <f t="shared" si="132"/>
        <v>0</v>
      </c>
      <c r="AG335" s="1">
        <f t="shared" si="133"/>
        <v>0</v>
      </c>
      <c r="AH335" s="1">
        <f t="shared" si="134"/>
        <v>0</v>
      </c>
      <c r="AI335" s="1">
        <f t="shared" si="135"/>
        <v>1</v>
      </c>
    </row>
    <row r="336" spans="1:35" ht="14.25" customHeight="1" x14ac:dyDescent="0.25">
      <c r="A336" s="47">
        <v>0</v>
      </c>
      <c r="B336" s="47">
        <v>2</v>
      </c>
      <c r="C336" s="47">
        <v>3</v>
      </c>
      <c r="D336" s="48" t="s">
        <v>56</v>
      </c>
      <c r="E336" s="48" t="s">
        <v>162</v>
      </c>
      <c r="F336" s="48" t="s">
        <v>220</v>
      </c>
      <c r="G336" s="48" t="s">
        <v>197</v>
      </c>
      <c r="H336" s="48" t="s">
        <v>355</v>
      </c>
      <c r="I336" s="47" t="s">
        <v>553</v>
      </c>
      <c r="J336" s="47">
        <v>99</v>
      </c>
      <c r="K336" s="49" t="s">
        <v>717</v>
      </c>
      <c r="L336" s="49" t="s">
        <v>726</v>
      </c>
      <c r="M336" s="50" t="s">
        <v>727</v>
      </c>
      <c r="N336" s="50" t="s">
        <v>1809</v>
      </c>
      <c r="O336" s="51"/>
      <c r="P336" s="51"/>
      <c r="Q336" s="48"/>
      <c r="S336" s="1">
        <f t="shared" si="136"/>
        <v>0</v>
      </c>
      <c r="T336" s="1">
        <f t="shared" si="137"/>
        <v>0</v>
      </c>
      <c r="U336" s="1">
        <f t="shared" si="138"/>
        <v>0</v>
      </c>
      <c r="V336" s="1">
        <f t="shared" si="139"/>
        <v>0</v>
      </c>
      <c r="W336" s="1">
        <f t="shared" si="140"/>
        <v>0</v>
      </c>
      <c r="X336" s="1">
        <f t="shared" si="141"/>
        <v>0</v>
      </c>
      <c r="Y336" s="1">
        <f t="shared" si="142"/>
        <v>0</v>
      </c>
      <c r="Z336" s="1">
        <f t="shared" si="143"/>
        <v>0</v>
      </c>
      <c r="AA336" s="1">
        <f t="shared" si="144"/>
        <v>0</v>
      </c>
      <c r="AB336" s="1">
        <f t="shared" si="145"/>
        <v>0</v>
      </c>
      <c r="AD336" s="1">
        <f t="shared" si="146"/>
        <v>0</v>
      </c>
      <c r="AE336" s="1">
        <f t="shared" si="147"/>
        <v>0</v>
      </c>
      <c r="AF336" s="1">
        <f t="shared" si="132"/>
        <v>0</v>
      </c>
      <c r="AG336" s="1">
        <f t="shared" si="133"/>
        <v>0</v>
      </c>
      <c r="AH336" s="1">
        <f t="shared" si="134"/>
        <v>0</v>
      </c>
      <c r="AI336" s="1">
        <f t="shared" si="135"/>
        <v>1</v>
      </c>
    </row>
    <row r="337" spans="1:35" ht="14.25" customHeight="1" x14ac:dyDescent="0.25">
      <c r="A337" s="47">
        <v>0</v>
      </c>
      <c r="B337" s="47">
        <v>2</v>
      </c>
      <c r="C337" s="47">
        <v>3</v>
      </c>
      <c r="D337" s="48" t="s">
        <v>1182</v>
      </c>
      <c r="E337" s="48" t="s">
        <v>1342</v>
      </c>
      <c r="F337" s="48" t="s">
        <v>1183</v>
      </c>
      <c r="G337" s="48" t="s">
        <v>303</v>
      </c>
      <c r="H337" s="48" t="s">
        <v>355</v>
      </c>
      <c r="I337" s="47" t="s">
        <v>1184</v>
      </c>
      <c r="J337" s="47">
        <v>1</v>
      </c>
      <c r="K337" s="49" t="s">
        <v>959</v>
      </c>
      <c r="L337" s="49" t="s">
        <v>697</v>
      </c>
      <c r="M337" s="50" t="s">
        <v>1422</v>
      </c>
      <c r="N337" s="50" t="s">
        <v>1742</v>
      </c>
      <c r="O337" s="51"/>
      <c r="P337" s="51"/>
      <c r="Q337" s="48"/>
      <c r="S337" s="1">
        <f t="shared" si="136"/>
        <v>1</v>
      </c>
      <c r="T337" s="1">
        <f t="shared" si="137"/>
        <v>0</v>
      </c>
      <c r="U337" s="1">
        <f t="shared" si="138"/>
        <v>0</v>
      </c>
      <c r="V337" s="1">
        <f t="shared" si="139"/>
        <v>0</v>
      </c>
      <c r="W337" s="1">
        <f t="shared" si="140"/>
        <v>0</v>
      </c>
      <c r="X337" s="1">
        <f t="shared" si="141"/>
        <v>0</v>
      </c>
      <c r="Y337" s="1">
        <f t="shared" si="142"/>
        <v>0</v>
      </c>
      <c r="Z337" s="1">
        <f t="shared" si="143"/>
        <v>0</v>
      </c>
      <c r="AA337" s="1">
        <f t="shared" si="144"/>
        <v>0</v>
      </c>
      <c r="AB337" s="1">
        <f t="shared" si="145"/>
        <v>0</v>
      </c>
      <c r="AD337" s="1">
        <f t="shared" si="146"/>
        <v>0</v>
      </c>
      <c r="AE337" s="1">
        <f t="shared" si="147"/>
        <v>0</v>
      </c>
      <c r="AF337" s="1">
        <f t="shared" si="132"/>
        <v>0</v>
      </c>
      <c r="AG337" s="1">
        <f t="shared" si="133"/>
        <v>0</v>
      </c>
      <c r="AH337" s="1">
        <f t="shared" si="134"/>
        <v>0</v>
      </c>
      <c r="AI337" s="1">
        <f t="shared" si="135"/>
        <v>1</v>
      </c>
    </row>
    <row r="338" spans="1:35" ht="14.25" customHeight="1" x14ac:dyDescent="0.25">
      <c r="A338" s="47">
        <v>0</v>
      </c>
      <c r="B338" s="47">
        <v>2</v>
      </c>
      <c r="C338" s="47">
        <v>3</v>
      </c>
      <c r="D338" s="48" t="s">
        <v>1179</v>
      </c>
      <c r="E338" s="48" t="s">
        <v>1342</v>
      </c>
      <c r="F338" s="48" t="s">
        <v>1180</v>
      </c>
      <c r="G338" s="48" t="s">
        <v>1060</v>
      </c>
      <c r="H338" s="48" t="s">
        <v>355</v>
      </c>
      <c r="I338" s="47" t="s">
        <v>1181</v>
      </c>
      <c r="J338" s="47">
        <v>1</v>
      </c>
      <c r="K338" s="49" t="s">
        <v>717</v>
      </c>
      <c r="L338" s="49" t="s">
        <v>697</v>
      </c>
      <c r="M338" s="50" t="s">
        <v>1422</v>
      </c>
      <c r="N338" s="50" t="s">
        <v>1742</v>
      </c>
      <c r="O338" s="51"/>
      <c r="P338" s="51"/>
      <c r="Q338" s="48"/>
      <c r="S338" s="1">
        <f t="shared" si="136"/>
        <v>1</v>
      </c>
      <c r="T338" s="1">
        <f t="shared" si="137"/>
        <v>0</v>
      </c>
      <c r="U338" s="1">
        <f t="shared" si="138"/>
        <v>0</v>
      </c>
      <c r="V338" s="1">
        <f t="shared" si="139"/>
        <v>0</v>
      </c>
      <c r="W338" s="1">
        <f t="shared" si="140"/>
        <v>0</v>
      </c>
      <c r="X338" s="1">
        <f t="shared" si="141"/>
        <v>0</v>
      </c>
      <c r="Y338" s="1">
        <f t="shared" si="142"/>
        <v>0</v>
      </c>
      <c r="Z338" s="1">
        <f t="shared" si="143"/>
        <v>0</v>
      </c>
      <c r="AA338" s="1">
        <f t="shared" si="144"/>
        <v>0</v>
      </c>
      <c r="AB338" s="1">
        <f t="shared" si="145"/>
        <v>0</v>
      </c>
      <c r="AD338" s="1">
        <f t="shared" si="146"/>
        <v>0</v>
      </c>
      <c r="AE338" s="1">
        <f t="shared" si="147"/>
        <v>0</v>
      </c>
      <c r="AF338" s="1">
        <f t="shared" si="132"/>
        <v>0</v>
      </c>
      <c r="AG338" s="1">
        <f t="shared" si="133"/>
        <v>0</v>
      </c>
      <c r="AH338" s="1">
        <f t="shared" si="134"/>
        <v>0</v>
      </c>
      <c r="AI338" s="1">
        <f t="shared" si="135"/>
        <v>1</v>
      </c>
    </row>
    <row r="339" spans="1:35" ht="14.25" customHeight="1" x14ac:dyDescent="0.25">
      <c r="A339" s="34">
        <v>0</v>
      </c>
      <c r="B339" s="34">
        <v>2</v>
      </c>
      <c r="C339" s="34">
        <v>3</v>
      </c>
      <c r="D339" s="35" t="s">
        <v>1301</v>
      </c>
      <c r="E339" s="35" t="s">
        <v>32</v>
      </c>
      <c r="F339" s="35" t="s">
        <v>1302</v>
      </c>
      <c r="G339" s="35" t="s">
        <v>223</v>
      </c>
      <c r="H339" s="35" t="s">
        <v>355</v>
      </c>
      <c r="I339" s="34" t="s">
        <v>1696</v>
      </c>
      <c r="J339" s="34">
        <v>99</v>
      </c>
      <c r="K339" s="36" t="s">
        <v>717</v>
      </c>
      <c r="L339" s="36" t="s">
        <v>720</v>
      </c>
      <c r="M339" s="37" t="s">
        <v>1303</v>
      </c>
      <c r="N339" s="37" t="s">
        <v>1734</v>
      </c>
      <c r="O339" s="38">
        <v>1</v>
      </c>
      <c r="P339" s="38">
        <v>1</v>
      </c>
      <c r="Q339" s="35"/>
      <c r="S339" s="1">
        <f t="shared" si="136"/>
        <v>0</v>
      </c>
      <c r="T339" s="1">
        <f t="shared" si="137"/>
        <v>0</v>
      </c>
      <c r="U339" s="1">
        <f t="shared" si="138"/>
        <v>0</v>
      </c>
      <c r="V339" s="1">
        <f t="shared" si="139"/>
        <v>0</v>
      </c>
      <c r="W339" s="1">
        <f t="shared" si="140"/>
        <v>0</v>
      </c>
      <c r="X339" s="1">
        <f t="shared" si="141"/>
        <v>0</v>
      </c>
      <c r="Y339" s="1">
        <f t="shared" si="142"/>
        <v>0</v>
      </c>
      <c r="Z339" s="1">
        <f t="shared" si="143"/>
        <v>0</v>
      </c>
      <c r="AA339" s="1">
        <f t="shared" si="144"/>
        <v>0</v>
      </c>
      <c r="AB339" s="1">
        <f t="shared" si="145"/>
        <v>0</v>
      </c>
      <c r="AD339" s="1">
        <f t="shared" si="146"/>
        <v>1</v>
      </c>
      <c r="AE339" s="1">
        <f t="shared" si="147"/>
        <v>0</v>
      </c>
      <c r="AF339" s="1">
        <f t="shared" si="132"/>
        <v>1</v>
      </c>
      <c r="AG339" s="1">
        <f t="shared" si="133"/>
        <v>0</v>
      </c>
      <c r="AH339" s="1">
        <f t="shared" si="134"/>
        <v>1</v>
      </c>
      <c r="AI339" s="1">
        <f t="shared" si="135"/>
        <v>0</v>
      </c>
    </row>
    <row r="340" spans="1:35" ht="14.25" customHeight="1" x14ac:dyDescent="0.25">
      <c r="A340" s="34">
        <v>0</v>
      </c>
      <c r="B340" s="34">
        <v>2</v>
      </c>
      <c r="C340" s="34">
        <v>3</v>
      </c>
      <c r="D340" s="35" t="s">
        <v>765</v>
      </c>
      <c r="E340" s="35" t="s">
        <v>917</v>
      </c>
      <c r="F340" s="35" t="s">
        <v>766</v>
      </c>
      <c r="G340" s="35" t="s">
        <v>221</v>
      </c>
      <c r="H340" s="35" t="s">
        <v>355</v>
      </c>
      <c r="I340" s="34" t="s">
        <v>767</v>
      </c>
      <c r="J340" s="34">
        <v>8</v>
      </c>
      <c r="K340" s="36" t="s">
        <v>959</v>
      </c>
      <c r="L340" s="36" t="s">
        <v>733</v>
      </c>
      <c r="M340" s="37" t="s">
        <v>727</v>
      </c>
      <c r="N340" s="37" t="s">
        <v>1755</v>
      </c>
      <c r="O340" s="38">
        <v>1</v>
      </c>
      <c r="P340" s="38"/>
      <c r="Q340" s="35"/>
      <c r="S340" s="1">
        <f t="shared" si="136"/>
        <v>0</v>
      </c>
      <c r="T340" s="1">
        <f t="shared" si="137"/>
        <v>0</v>
      </c>
      <c r="U340" s="1">
        <f t="shared" si="138"/>
        <v>0</v>
      </c>
      <c r="V340" s="1">
        <f t="shared" si="139"/>
        <v>0</v>
      </c>
      <c r="W340" s="1">
        <f t="shared" si="140"/>
        <v>0</v>
      </c>
      <c r="X340" s="1">
        <f t="shared" si="141"/>
        <v>0</v>
      </c>
      <c r="Y340" s="1">
        <f t="shared" si="142"/>
        <v>0</v>
      </c>
      <c r="Z340" s="1">
        <f t="shared" si="143"/>
        <v>1</v>
      </c>
      <c r="AA340" s="1">
        <f t="shared" si="144"/>
        <v>0</v>
      </c>
      <c r="AB340" s="1">
        <f t="shared" si="145"/>
        <v>0</v>
      </c>
      <c r="AD340" s="1">
        <f t="shared" si="146"/>
        <v>0</v>
      </c>
      <c r="AE340" s="1">
        <f t="shared" si="147"/>
        <v>1</v>
      </c>
      <c r="AF340" s="1">
        <f t="shared" si="132"/>
        <v>0</v>
      </c>
      <c r="AG340" s="1">
        <f t="shared" si="133"/>
        <v>1</v>
      </c>
      <c r="AH340" s="1">
        <f t="shared" si="134"/>
        <v>0</v>
      </c>
      <c r="AI340" s="1">
        <f t="shared" si="135"/>
        <v>1</v>
      </c>
    </row>
    <row r="341" spans="1:35" ht="14.25" customHeight="1" x14ac:dyDescent="0.25">
      <c r="A341" s="47">
        <v>0</v>
      </c>
      <c r="B341" s="47">
        <v>2</v>
      </c>
      <c r="C341" s="47">
        <v>3</v>
      </c>
      <c r="D341" s="48" t="s">
        <v>1502</v>
      </c>
      <c r="E341" s="48" t="s">
        <v>1503</v>
      </c>
      <c r="F341" s="48" t="s">
        <v>1504</v>
      </c>
      <c r="G341" s="48" t="s">
        <v>239</v>
      </c>
      <c r="H341" s="48" t="s">
        <v>355</v>
      </c>
      <c r="I341" s="47" t="s">
        <v>1505</v>
      </c>
      <c r="J341" s="47">
        <v>4</v>
      </c>
      <c r="K341" s="49" t="s">
        <v>716</v>
      </c>
      <c r="L341" s="49">
        <v>15</v>
      </c>
      <c r="M341" s="50" t="s">
        <v>39</v>
      </c>
      <c r="N341" s="50" t="s">
        <v>1809</v>
      </c>
      <c r="O341" s="51"/>
      <c r="P341" s="51"/>
      <c r="Q341" s="48"/>
      <c r="S341" s="1">
        <f t="shared" si="136"/>
        <v>0</v>
      </c>
      <c r="T341" s="1">
        <f t="shared" si="137"/>
        <v>0</v>
      </c>
      <c r="U341" s="1">
        <f t="shared" si="138"/>
        <v>0</v>
      </c>
      <c r="V341" s="1">
        <f t="shared" si="139"/>
        <v>1</v>
      </c>
      <c r="W341" s="1">
        <f t="shared" si="140"/>
        <v>0</v>
      </c>
      <c r="X341" s="1">
        <f t="shared" si="141"/>
        <v>0</v>
      </c>
      <c r="Y341" s="1">
        <f t="shared" si="142"/>
        <v>0</v>
      </c>
      <c r="Z341" s="1">
        <f t="shared" si="143"/>
        <v>0</v>
      </c>
      <c r="AA341" s="1">
        <f t="shared" si="144"/>
        <v>0</v>
      </c>
      <c r="AB341" s="1">
        <f t="shared" si="145"/>
        <v>0</v>
      </c>
      <c r="AD341" s="1">
        <f t="shared" si="146"/>
        <v>0</v>
      </c>
      <c r="AE341" s="1">
        <f t="shared" si="147"/>
        <v>0</v>
      </c>
      <c r="AF341" s="1">
        <f t="shared" si="132"/>
        <v>0</v>
      </c>
      <c r="AG341" s="1">
        <f t="shared" si="133"/>
        <v>0</v>
      </c>
      <c r="AH341" s="1">
        <f t="shared" si="134"/>
        <v>0</v>
      </c>
      <c r="AI341" s="1">
        <f t="shared" si="135"/>
        <v>1</v>
      </c>
    </row>
    <row r="342" spans="1:35" ht="14.25" customHeight="1" x14ac:dyDescent="0.25">
      <c r="A342" s="34">
        <v>0</v>
      </c>
      <c r="B342" s="34">
        <v>2</v>
      </c>
      <c r="C342" s="34">
        <v>3</v>
      </c>
      <c r="D342" s="35" t="s">
        <v>1560</v>
      </c>
      <c r="E342" s="35" t="s">
        <v>1561</v>
      </c>
      <c r="F342" s="35" t="s">
        <v>1562</v>
      </c>
      <c r="G342" s="35" t="s">
        <v>1563</v>
      </c>
      <c r="H342" s="35" t="s">
        <v>355</v>
      </c>
      <c r="I342" s="34" t="s">
        <v>1564</v>
      </c>
      <c r="J342" s="34">
        <v>7</v>
      </c>
      <c r="K342" s="36" t="s">
        <v>959</v>
      </c>
      <c r="L342" s="36">
        <v>10</v>
      </c>
      <c r="M342" s="37" t="s">
        <v>39</v>
      </c>
      <c r="N342" s="37" t="s">
        <v>1750</v>
      </c>
      <c r="O342" s="38">
        <v>1</v>
      </c>
      <c r="P342" s="38"/>
      <c r="Q342" s="35"/>
      <c r="S342" s="1">
        <f t="shared" si="136"/>
        <v>0</v>
      </c>
      <c r="T342" s="1">
        <f t="shared" si="137"/>
        <v>0</v>
      </c>
      <c r="U342" s="1">
        <f t="shared" si="138"/>
        <v>0</v>
      </c>
      <c r="V342" s="1">
        <f t="shared" si="139"/>
        <v>0</v>
      </c>
      <c r="W342" s="1">
        <f t="shared" si="140"/>
        <v>0</v>
      </c>
      <c r="X342" s="1">
        <f t="shared" si="141"/>
        <v>0</v>
      </c>
      <c r="Y342" s="1">
        <f t="shared" si="142"/>
        <v>1</v>
      </c>
      <c r="Z342" s="1">
        <f t="shared" si="143"/>
        <v>0</v>
      </c>
      <c r="AA342" s="1">
        <f t="shared" si="144"/>
        <v>0</v>
      </c>
      <c r="AB342" s="1">
        <f t="shared" si="145"/>
        <v>0</v>
      </c>
      <c r="AD342" s="1">
        <f t="shared" si="146"/>
        <v>0</v>
      </c>
      <c r="AE342" s="1">
        <f t="shared" si="147"/>
        <v>1</v>
      </c>
      <c r="AF342" s="1">
        <f t="shared" si="132"/>
        <v>0</v>
      </c>
      <c r="AG342" s="1">
        <f t="shared" si="133"/>
        <v>1</v>
      </c>
      <c r="AH342" s="1">
        <f t="shared" si="134"/>
        <v>0</v>
      </c>
      <c r="AI342" s="1">
        <f t="shared" si="135"/>
        <v>1</v>
      </c>
    </row>
    <row r="343" spans="1:35" ht="14.25" customHeight="1" x14ac:dyDescent="0.25">
      <c r="A343" s="47">
        <v>0</v>
      </c>
      <c r="B343" s="47">
        <v>2</v>
      </c>
      <c r="C343" s="47">
        <v>3</v>
      </c>
      <c r="D343" s="48" t="s">
        <v>845</v>
      </c>
      <c r="E343" s="48" t="s">
        <v>32</v>
      </c>
      <c r="F343" s="48" t="s">
        <v>847</v>
      </c>
      <c r="G343" s="48" t="s">
        <v>39</v>
      </c>
      <c r="H343" s="48" t="s">
        <v>355</v>
      </c>
      <c r="I343" s="47" t="s">
        <v>846</v>
      </c>
      <c r="J343" s="47">
        <v>1</v>
      </c>
      <c r="K343" s="49" t="s">
        <v>717</v>
      </c>
      <c r="L343" s="49" t="s">
        <v>698</v>
      </c>
      <c r="M343" s="50" t="s">
        <v>1422</v>
      </c>
      <c r="N343" s="50" t="s">
        <v>1742</v>
      </c>
      <c r="O343" s="51"/>
      <c r="P343" s="51"/>
      <c r="Q343" s="48"/>
      <c r="S343" s="1">
        <f t="shared" si="136"/>
        <v>1</v>
      </c>
      <c r="T343" s="1">
        <f t="shared" si="137"/>
        <v>0</v>
      </c>
      <c r="U343" s="1">
        <f t="shared" si="138"/>
        <v>0</v>
      </c>
      <c r="V343" s="1">
        <f t="shared" si="139"/>
        <v>0</v>
      </c>
      <c r="W343" s="1">
        <f t="shared" si="140"/>
        <v>0</v>
      </c>
      <c r="X343" s="1">
        <f t="shared" si="141"/>
        <v>0</v>
      </c>
      <c r="Y343" s="1">
        <f t="shared" si="142"/>
        <v>0</v>
      </c>
      <c r="Z343" s="1">
        <f t="shared" si="143"/>
        <v>0</v>
      </c>
      <c r="AA343" s="1">
        <f t="shared" si="144"/>
        <v>0</v>
      </c>
      <c r="AB343" s="1">
        <f t="shared" si="145"/>
        <v>0</v>
      </c>
      <c r="AD343" s="1">
        <f t="shared" si="146"/>
        <v>0</v>
      </c>
      <c r="AE343" s="1">
        <f t="shared" si="147"/>
        <v>0</v>
      </c>
      <c r="AF343" s="1">
        <f t="shared" si="132"/>
        <v>0</v>
      </c>
      <c r="AG343" s="1">
        <f t="shared" si="133"/>
        <v>0</v>
      </c>
      <c r="AH343" s="1">
        <f t="shared" si="134"/>
        <v>0</v>
      </c>
      <c r="AI343" s="1">
        <f t="shared" si="135"/>
        <v>1</v>
      </c>
    </row>
    <row r="344" spans="1:35" ht="14.25" customHeight="1" x14ac:dyDescent="0.25">
      <c r="A344" s="15">
        <v>0</v>
      </c>
      <c r="B344" s="15">
        <v>2</v>
      </c>
      <c r="C344" s="15">
        <v>4</v>
      </c>
      <c r="D344" s="16" t="s">
        <v>768</v>
      </c>
      <c r="E344" s="16" t="s">
        <v>769</v>
      </c>
      <c r="F344" s="16" t="s">
        <v>770</v>
      </c>
      <c r="G344" s="16" t="s">
        <v>771</v>
      </c>
      <c r="H344" s="16" t="s">
        <v>355</v>
      </c>
      <c r="I344" s="15" t="s">
        <v>772</v>
      </c>
      <c r="J344" s="15">
        <v>99</v>
      </c>
      <c r="K344" s="10" t="s">
        <v>707</v>
      </c>
      <c r="L344" s="10">
        <v>15</v>
      </c>
      <c r="M344" s="19" t="s">
        <v>773</v>
      </c>
      <c r="N344" s="19"/>
      <c r="Q344" s="16"/>
      <c r="S344" s="1">
        <f t="shared" si="136"/>
        <v>0</v>
      </c>
      <c r="T344" s="1">
        <f t="shared" si="137"/>
        <v>0</v>
      </c>
      <c r="U344" s="1">
        <f t="shared" si="138"/>
        <v>0</v>
      </c>
      <c r="V344" s="1">
        <f t="shared" si="139"/>
        <v>0</v>
      </c>
      <c r="W344" s="1">
        <f t="shared" si="140"/>
        <v>0</v>
      </c>
      <c r="X344" s="1">
        <f t="shared" si="141"/>
        <v>0</v>
      </c>
      <c r="Y344" s="1">
        <f t="shared" si="142"/>
        <v>0</v>
      </c>
      <c r="Z344" s="1">
        <f t="shared" si="143"/>
        <v>0</v>
      </c>
      <c r="AA344" s="1">
        <f t="shared" si="144"/>
        <v>0</v>
      </c>
      <c r="AB344" s="1">
        <f t="shared" si="145"/>
        <v>0</v>
      </c>
      <c r="AD344" s="1">
        <f t="shared" si="146"/>
        <v>0</v>
      </c>
      <c r="AE344" s="1">
        <f t="shared" si="147"/>
        <v>0</v>
      </c>
      <c r="AF344" s="1">
        <f t="shared" si="132"/>
        <v>0</v>
      </c>
      <c r="AG344" s="1">
        <f t="shared" si="133"/>
        <v>0</v>
      </c>
      <c r="AH344" s="1">
        <f t="shared" si="134"/>
        <v>0</v>
      </c>
      <c r="AI344" s="1">
        <f t="shared" si="135"/>
        <v>1</v>
      </c>
    </row>
    <row r="345" spans="1:35" ht="14.25" customHeight="1" x14ac:dyDescent="0.25">
      <c r="A345" s="47">
        <v>0</v>
      </c>
      <c r="B345" s="47">
        <v>2</v>
      </c>
      <c r="C345" s="47">
        <v>4</v>
      </c>
      <c r="D345" s="48" t="s">
        <v>802</v>
      </c>
      <c r="E345" s="48" t="s">
        <v>912</v>
      </c>
      <c r="F345" s="48" t="s">
        <v>929</v>
      </c>
      <c r="G345" s="48" t="s">
        <v>209</v>
      </c>
      <c r="H345" s="48" t="s">
        <v>355</v>
      </c>
      <c r="I345" s="47" t="s">
        <v>1370</v>
      </c>
      <c r="J345" s="47">
        <v>3</v>
      </c>
      <c r="K345" s="49" t="s">
        <v>707</v>
      </c>
      <c r="L345" s="49">
        <v>20</v>
      </c>
      <c r="M345" s="50" t="s">
        <v>1424</v>
      </c>
      <c r="N345" s="50" t="s">
        <v>1809</v>
      </c>
      <c r="O345" s="51"/>
      <c r="P345" s="51"/>
      <c r="Q345" s="48"/>
      <c r="S345" s="1">
        <f t="shared" si="136"/>
        <v>0</v>
      </c>
      <c r="T345" s="1">
        <f t="shared" si="137"/>
        <v>0</v>
      </c>
      <c r="U345" s="1">
        <f t="shared" si="138"/>
        <v>1</v>
      </c>
      <c r="V345" s="1">
        <f t="shared" si="139"/>
        <v>0</v>
      </c>
      <c r="W345" s="1">
        <f t="shared" si="140"/>
        <v>0</v>
      </c>
      <c r="X345" s="1">
        <f t="shared" si="141"/>
        <v>0</v>
      </c>
      <c r="Y345" s="1">
        <f t="shared" si="142"/>
        <v>0</v>
      </c>
      <c r="Z345" s="1">
        <f t="shared" si="143"/>
        <v>0</v>
      </c>
      <c r="AA345" s="1">
        <f t="shared" si="144"/>
        <v>0</v>
      </c>
      <c r="AB345" s="1">
        <f t="shared" si="145"/>
        <v>0</v>
      </c>
      <c r="AD345" s="1">
        <f t="shared" si="146"/>
        <v>0</v>
      </c>
      <c r="AE345" s="1">
        <f t="shared" si="147"/>
        <v>0</v>
      </c>
      <c r="AF345" s="1">
        <f t="shared" si="132"/>
        <v>0</v>
      </c>
      <c r="AG345" s="1">
        <f t="shared" si="133"/>
        <v>0</v>
      </c>
      <c r="AH345" s="1">
        <f t="shared" si="134"/>
        <v>0</v>
      </c>
      <c r="AI345" s="1">
        <f t="shared" si="135"/>
        <v>1</v>
      </c>
    </row>
    <row r="346" spans="1:35" ht="14.25" customHeight="1" x14ac:dyDescent="0.25">
      <c r="A346" s="60">
        <v>0</v>
      </c>
      <c r="B346" s="60">
        <v>2</v>
      </c>
      <c r="C346" s="60">
        <v>4</v>
      </c>
      <c r="D346" s="61" t="s">
        <v>569</v>
      </c>
      <c r="E346" s="61" t="s">
        <v>37</v>
      </c>
      <c r="F346" s="61" t="s">
        <v>206</v>
      </c>
      <c r="G346" s="61" t="s">
        <v>39</v>
      </c>
      <c r="H346" s="61" t="s">
        <v>355</v>
      </c>
      <c r="I346" s="60" t="s">
        <v>390</v>
      </c>
      <c r="J346" s="60">
        <v>6</v>
      </c>
      <c r="K346" s="62" t="s">
        <v>707</v>
      </c>
      <c r="L346" s="62" t="s">
        <v>39</v>
      </c>
      <c r="M346" s="63" t="s">
        <v>39</v>
      </c>
      <c r="N346" s="64"/>
      <c r="O346" s="65"/>
      <c r="P346" s="65"/>
      <c r="Q346" s="61"/>
      <c r="S346" s="1">
        <f t="shared" si="136"/>
        <v>0</v>
      </c>
      <c r="T346" s="1">
        <f t="shared" si="137"/>
        <v>0</v>
      </c>
      <c r="U346" s="1">
        <f t="shared" si="138"/>
        <v>0</v>
      </c>
      <c r="V346" s="1">
        <f t="shared" si="139"/>
        <v>0</v>
      </c>
      <c r="W346" s="1">
        <f t="shared" si="140"/>
        <v>0</v>
      </c>
      <c r="X346" s="1">
        <f t="shared" si="141"/>
        <v>1</v>
      </c>
      <c r="Y346" s="1">
        <f t="shared" si="142"/>
        <v>0</v>
      </c>
      <c r="Z346" s="1">
        <f t="shared" si="143"/>
        <v>0</v>
      </c>
      <c r="AA346" s="1">
        <f t="shared" si="144"/>
        <v>0</v>
      </c>
      <c r="AB346" s="1">
        <f t="shared" si="145"/>
        <v>0</v>
      </c>
      <c r="AD346" s="1">
        <f t="shared" si="146"/>
        <v>0</v>
      </c>
      <c r="AE346" s="1">
        <f t="shared" si="147"/>
        <v>0</v>
      </c>
      <c r="AF346" s="1">
        <f t="shared" si="132"/>
        <v>0</v>
      </c>
      <c r="AG346" s="1">
        <f t="shared" si="133"/>
        <v>0</v>
      </c>
      <c r="AH346" s="1">
        <f t="shared" si="134"/>
        <v>0</v>
      </c>
      <c r="AI346" s="1">
        <f t="shared" si="135"/>
        <v>1</v>
      </c>
    </row>
    <row r="347" spans="1:35" ht="14.25" customHeight="1" x14ac:dyDescent="0.25">
      <c r="A347" s="47">
        <v>0</v>
      </c>
      <c r="B347" s="47">
        <v>2</v>
      </c>
      <c r="C347" s="47">
        <v>4</v>
      </c>
      <c r="D347" s="48" t="s">
        <v>655</v>
      </c>
      <c r="E347" s="48" t="s">
        <v>914</v>
      </c>
      <c r="F347" s="48" t="s">
        <v>626</v>
      </c>
      <c r="G347" s="48" t="s">
        <v>342</v>
      </c>
      <c r="H347" s="48" t="s">
        <v>355</v>
      </c>
      <c r="I347" s="47" t="s">
        <v>627</v>
      </c>
      <c r="J347" s="47">
        <v>10</v>
      </c>
      <c r="K347" s="49" t="s">
        <v>958</v>
      </c>
      <c r="L347" s="49" t="s">
        <v>708</v>
      </c>
      <c r="M347" s="50" t="s">
        <v>1425</v>
      </c>
      <c r="N347" s="50" t="s">
        <v>1741</v>
      </c>
      <c r="O347" s="51"/>
      <c r="P347" s="51"/>
      <c r="Q347" s="48"/>
      <c r="S347" s="1">
        <f t="shared" si="136"/>
        <v>0</v>
      </c>
      <c r="T347" s="1">
        <f t="shared" si="137"/>
        <v>0</v>
      </c>
      <c r="U347" s="1">
        <f t="shared" si="138"/>
        <v>0</v>
      </c>
      <c r="V347" s="1">
        <f t="shared" si="139"/>
        <v>0</v>
      </c>
      <c r="W347" s="1">
        <f t="shared" si="140"/>
        <v>0</v>
      </c>
      <c r="X347" s="1">
        <f t="shared" si="141"/>
        <v>0</v>
      </c>
      <c r="Y347" s="1">
        <f t="shared" si="142"/>
        <v>0</v>
      </c>
      <c r="Z347" s="1">
        <f t="shared" si="143"/>
        <v>0</v>
      </c>
      <c r="AA347" s="1">
        <f t="shared" si="144"/>
        <v>0</v>
      </c>
      <c r="AB347" s="1">
        <f t="shared" si="145"/>
        <v>1</v>
      </c>
      <c r="AD347" s="1">
        <f t="shared" si="146"/>
        <v>0</v>
      </c>
      <c r="AE347" s="1">
        <f t="shared" si="147"/>
        <v>0</v>
      </c>
      <c r="AF347" s="1">
        <f t="shared" si="132"/>
        <v>0</v>
      </c>
      <c r="AG347" s="1">
        <f t="shared" si="133"/>
        <v>0</v>
      </c>
      <c r="AH347" s="1">
        <f t="shared" si="134"/>
        <v>0</v>
      </c>
      <c r="AI347" s="1">
        <f t="shared" si="135"/>
        <v>1</v>
      </c>
    </row>
    <row r="348" spans="1:35" ht="14.25" customHeight="1" x14ac:dyDescent="0.25">
      <c r="A348" s="34">
        <v>0</v>
      </c>
      <c r="B348" s="34">
        <v>2</v>
      </c>
      <c r="C348" s="34">
        <v>4</v>
      </c>
      <c r="D348" s="35" t="s">
        <v>75</v>
      </c>
      <c r="E348" s="35" t="s">
        <v>35</v>
      </c>
      <c r="F348" s="35" t="s">
        <v>267</v>
      </c>
      <c r="G348" s="35" t="s">
        <v>214</v>
      </c>
      <c r="H348" s="35" t="s">
        <v>355</v>
      </c>
      <c r="I348" s="34" t="s">
        <v>949</v>
      </c>
      <c r="J348" s="34">
        <v>1</v>
      </c>
      <c r="K348" s="36" t="s">
        <v>717</v>
      </c>
      <c r="L348" s="36" t="s">
        <v>708</v>
      </c>
      <c r="M348" s="37" t="s">
        <v>1426</v>
      </c>
      <c r="N348" s="37" t="s">
        <v>1750</v>
      </c>
      <c r="O348" s="38">
        <v>1</v>
      </c>
      <c r="P348" s="38"/>
      <c r="Q348" s="35"/>
      <c r="S348" s="1">
        <f t="shared" si="136"/>
        <v>1</v>
      </c>
      <c r="T348" s="1">
        <f t="shared" si="137"/>
        <v>0</v>
      </c>
      <c r="U348" s="1">
        <f t="shared" si="138"/>
        <v>0</v>
      </c>
      <c r="V348" s="1">
        <f t="shared" si="139"/>
        <v>0</v>
      </c>
      <c r="W348" s="1">
        <f t="shared" si="140"/>
        <v>0</v>
      </c>
      <c r="X348" s="1">
        <f t="shared" si="141"/>
        <v>0</v>
      </c>
      <c r="Y348" s="1">
        <f t="shared" si="142"/>
        <v>0</v>
      </c>
      <c r="Z348" s="1">
        <f t="shared" si="143"/>
        <v>0</v>
      </c>
      <c r="AA348" s="1">
        <f t="shared" si="144"/>
        <v>0</v>
      </c>
      <c r="AB348" s="1">
        <f t="shared" si="145"/>
        <v>0</v>
      </c>
      <c r="AD348" s="1">
        <f t="shared" si="146"/>
        <v>0</v>
      </c>
      <c r="AE348" s="1">
        <f t="shared" si="147"/>
        <v>1</v>
      </c>
      <c r="AF348" s="1">
        <f t="shared" si="132"/>
        <v>0</v>
      </c>
      <c r="AG348" s="1">
        <f t="shared" si="133"/>
        <v>1</v>
      </c>
      <c r="AH348" s="1">
        <f t="shared" si="134"/>
        <v>0</v>
      </c>
      <c r="AI348" s="1">
        <f t="shared" si="135"/>
        <v>1</v>
      </c>
    </row>
    <row r="349" spans="1:35" ht="14.25" customHeight="1" x14ac:dyDescent="0.25">
      <c r="A349" s="34">
        <v>0</v>
      </c>
      <c r="B349" s="34">
        <v>2</v>
      </c>
      <c r="C349" s="34">
        <v>4</v>
      </c>
      <c r="D349" s="35" t="s">
        <v>923</v>
      </c>
      <c r="E349" s="35" t="s">
        <v>916</v>
      </c>
      <c r="F349" s="35" t="s">
        <v>786</v>
      </c>
      <c r="G349" s="35" t="s">
        <v>286</v>
      </c>
      <c r="H349" s="35" t="s">
        <v>355</v>
      </c>
      <c r="I349" s="34" t="s">
        <v>950</v>
      </c>
      <c r="J349" s="34">
        <v>4</v>
      </c>
      <c r="K349" s="36" t="s">
        <v>717</v>
      </c>
      <c r="L349" s="36" t="s">
        <v>700</v>
      </c>
      <c r="M349" s="37" t="s">
        <v>1427</v>
      </c>
      <c r="N349" s="37" t="s">
        <v>1756</v>
      </c>
      <c r="O349" s="38">
        <v>1</v>
      </c>
      <c r="P349" s="38"/>
      <c r="Q349" s="35"/>
      <c r="S349" s="1">
        <f t="shared" si="136"/>
        <v>0</v>
      </c>
      <c r="T349" s="1">
        <f t="shared" si="137"/>
        <v>0</v>
      </c>
      <c r="U349" s="1">
        <f t="shared" si="138"/>
        <v>0</v>
      </c>
      <c r="V349" s="1">
        <f t="shared" si="139"/>
        <v>1</v>
      </c>
      <c r="W349" s="1">
        <f t="shared" si="140"/>
        <v>0</v>
      </c>
      <c r="X349" s="1">
        <f t="shared" si="141"/>
        <v>0</v>
      </c>
      <c r="Y349" s="1">
        <f t="shared" si="142"/>
        <v>0</v>
      </c>
      <c r="Z349" s="1">
        <f t="shared" si="143"/>
        <v>0</v>
      </c>
      <c r="AA349" s="1">
        <f t="shared" si="144"/>
        <v>0</v>
      </c>
      <c r="AB349" s="1">
        <f t="shared" si="145"/>
        <v>0</v>
      </c>
      <c r="AD349" s="1">
        <f t="shared" si="146"/>
        <v>0</v>
      </c>
      <c r="AE349" s="1">
        <f t="shared" si="147"/>
        <v>1</v>
      </c>
      <c r="AF349" s="1">
        <f t="shared" si="132"/>
        <v>0</v>
      </c>
      <c r="AG349" s="1">
        <f t="shared" si="133"/>
        <v>1</v>
      </c>
      <c r="AH349" s="1">
        <f t="shared" si="134"/>
        <v>0</v>
      </c>
      <c r="AI349" s="1">
        <f t="shared" si="135"/>
        <v>1</v>
      </c>
    </row>
    <row r="350" spans="1:35" ht="14.25" customHeight="1" x14ac:dyDescent="0.25">
      <c r="A350" s="41">
        <v>0</v>
      </c>
      <c r="B350" s="41">
        <v>2</v>
      </c>
      <c r="C350" s="41">
        <v>4</v>
      </c>
      <c r="D350" s="42" t="s">
        <v>1145</v>
      </c>
      <c r="E350" s="42" t="s">
        <v>776</v>
      </c>
      <c r="F350" s="42" t="s">
        <v>1146</v>
      </c>
      <c r="G350" s="42" t="s">
        <v>186</v>
      </c>
      <c r="H350" s="42" t="s">
        <v>355</v>
      </c>
      <c r="I350" s="41" t="s">
        <v>1173</v>
      </c>
      <c r="J350" s="41">
        <v>99</v>
      </c>
      <c r="K350" s="43" t="s">
        <v>717</v>
      </c>
      <c r="L350" s="43" t="s">
        <v>39</v>
      </c>
      <c r="M350" s="44" t="s">
        <v>39</v>
      </c>
      <c r="N350" s="45"/>
      <c r="O350" s="46"/>
      <c r="P350" s="46">
        <v>1</v>
      </c>
      <c r="Q350" s="42"/>
      <c r="S350" s="1">
        <f t="shared" si="136"/>
        <v>0</v>
      </c>
      <c r="T350" s="1">
        <f t="shared" si="137"/>
        <v>0</v>
      </c>
      <c r="U350" s="1">
        <f t="shared" si="138"/>
        <v>0</v>
      </c>
      <c r="V350" s="1">
        <f t="shared" si="139"/>
        <v>0</v>
      </c>
      <c r="W350" s="1">
        <f t="shared" si="140"/>
        <v>0</v>
      </c>
      <c r="X350" s="1">
        <f t="shared" si="141"/>
        <v>0</v>
      </c>
      <c r="Y350" s="1">
        <f t="shared" si="142"/>
        <v>0</v>
      </c>
      <c r="Z350" s="1">
        <f t="shared" si="143"/>
        <v>0</v>
      </c>
      <c r="AA350" s="1">
        <f t="shared" si="144"/>
        <v>0</v>
      </c>
      <c r="AB350" s="1">
        <f t="shared" si="145"/>
        <v>0</v>
      </c>
      <c r="AD350" s="1">
        <f t="shared" si="146"/>
        <v>0</v>
      </c>
      <c r="AE350" s="1">
        <f t="shared" si="147"/>
        <v>0</v>
      </c>
      <c r="AF350" s="1">
        <f t="shared" si="132"/>
        <v>0</v>
      </c>
      <c r="AG350" s="1">
        <f t="shared" si="133"/>
        <v>0</v>
      </c>
      <c r="AH350" s="1">
        <f t="shared" si="134"/>
        <v>1</v>
      </c>
      <c r="AI350" s="1">
        <f t="shared" si="135"/>
        <v>0</v>
      </c>
    </row>
    <row r="351" spans="1:35" ht="14.25" customHeight="1" x14ac:dyDescent="0.25">
      <c r="A351" s="15">
        <v>0</v>
      </c>
      <c r="B351" s="15">
        <v>2</v>
      </c>
      <c r="C351" s="15">
        <v>4</v>
      </c>
      <c r="D351" s="16" t="s">
        <v>631</v>
      </c>
      <c r="E351" s="16" t="s">
        <v>688</v>
      </c>
      <c r="F351" s="16" t="s">
        <v>673</v>
      </c>
      <c r="G351" s="16" t="s">
        <v>630</v>
      </c>
      <c r="H351" s="16" t="s">
        <v>355</v>
      </c>
      <c r="I351" s="15" t="s">
        <v>632</v>
      </c>
      <c r="J351" s="15">
        <v>99</v>
      </c>
      <c r="K351" s="10" t="s">
        <v>959</v>
      </c>
      <c r="L351" s="10" t="s">
        <v>39</v>
      </c>
      <c r="M351" s="19" t="s">
        <v>39</v>
      </c>
      <c r="N351" s="17"/>
      <c r="Q351" s="20" t="s">
        <v>1904</v>
      </c>
      <c r="S351" s="1">
        <f t="shared" si="136"/>
        <v>0</v>
      </c>
      <c r="T351" s="1">
        <f t="shared" si="137"/>
        <v>0</v>
      </c>
      <c r="U351" s="1">
        <f t="shared" si="138"/>
        <v>0</v>
      </c>
      <c r="V351" s="1">
        <f t="shared" si="139"/>
        <v>0</v>
      </c>
      <c r="W351" s="1">
        <f t="shared" si="140"/>
        <v>0</v>
      </c>
      <c r="X351" s="1">
        <f t="shared" si="141"/>
        <v>0</v>
      </c>
      <c r="Y351" s="1">
        <f t="shared" si="142"/>
        <v>0</v>
      </c>
      <c r="Z351" s="1">
        <f t="shared" si="143"/>
        <v>0</v>
      </c>
      <c r="AA351" s="1">
        <f t="shared" si="144"/>
        <v>0</v>
      </c>
      <c r="AB351" s="1">
        <f t="shared" si="145"/>
        <v>0</v>
      </c>
      <c r="AD351" s="1">
        <f t="shared" si="146"/>
        <v>0</v>
      </c>
      <c r="AE351" s="1">
        <f t="shared" si="147"/>
        <v>0</v>
      </c>
      <c r="AF351" s="1">
        <f t="shared" si="132"/>
        <v>0</v>
      </c>
      <c r="AG351" s="1">
        <f t="shared" si="133"/>
        <v>0</v>
      </c>
      <c r="AH351" s="1">
        <f t="shared" si="134"/>
        <v>0</v>
      </c>
      <c r="AI351" s="1">
        <f t="shared" si="135"/>
        <v>1</v>
      </c>
    </row>
    <row r="352" spans="1:35" ht="14.25" customHeight="1" x14ac:dyDescent="0.25">
      <c r="A352" s="34">
        <v>0</v>
      </c>
      <c r="B352" s="34">
        <v>2</v>
      </c>
      <c r="C352" s="34">
        <v>4</v>
      </c>
      <c r="D352" s="35" t="s">
        <v>84</v>
      </c>
      <c r="E352" s="35" t="s">
        <v>35</v>
      </c>
      <c r="F352" s="35" t="s">
        <v>278</v>
      </c>
      <c r="G352" s="35" t="s">
        <v>225</v>
      </c>
      <c r="H352" s="35" t="s">
        <v>355</v>
      </c>
      <c r="I352" s="34" t="s">
        <v>434</v>
      </c>
      <c r="J352" s="34">
        <v>99</v>
      </c>
      <c r="K352" s="36" t="s">
        <v>958</v>
      </c>
      <c r="L352" s="36" t="s">
        <v>708</v>
      </c>
      <c r="M352" s="37" t="s">
        <v>730</v>
      </c>
      <c r="N352" s="37" t="s">
        <v>1768</v>
      </c>
      <c r="O352" s="38">
        <v>1</v>
      </c>
      <c r="P352" s="38"/>
      <c r="Q352" s="35"/>
      <c r="S352" s="1">
        <f t="shared" si="136"/>
        <v>0</v>
      </c>
      <c r="T352" s="1">
        <f t="shared" si="137"/>
        <v>0</v>
      </c>
      <c r="U352" s="1">
        <f t="shared" si="138"/>
        <v>0</v>
      </c>
      <c r="V352" s="1">
        <f t="shared" si="139"/>
        <v>0</v>
      </c>
      <c r="W352" s="1">
        <f t="shared" si="140"/>
        <v>0</v>
      </c>
      <c r="X352" s="1">
        <f t="shared" si="141"/>
        <v>0</v>
      </c>
      <c r="Y352" s="1">
        <f t="shared" si="142"/>
        <v>0</v>
      </c>
      <c r="Z352" s="1">
        <f t="shared" si="143"/>
        <v>0</v>
      </c>
      <c r="AA352" s="1">
        <f t="shared" si="144"/>
        <v>0</v>
      </c>
      <c r="AB352" s="1">
        <f t="shared" si="145"/>
        <v>0</v>
      </c>
      <c r="AD352" s="1">
        <f t="shared" si="146"/>
        <v>0</v>
      </c>
      <c r="AE352" s="1">
        <f t="shared" si="147"/>
        <v>1</v>
      </c>
      <c r="AF352" s="1">
        <f t="shared" si="132"/>
        <v>0</v>
      </c>
      <c r="AG352" s="1">
        <f t="shared" si="133"/>
        <v>1</v>
      </c>
      <c r="AH352" s="1">
        <f t="shared" si="134"/>
        <v>0</v>
      </c>
      <c r="AI352" s="1">
        <f t="shared" si="135"/>
        <v>1</v>
      </c>
    </row>
    <row r="353" spans="1:16384" s="2" customFormat="1" ht="14.25" customHeight="1" x14ac:dyDescent="0.25">
      <c r="A353" s="15">
        <v>0</v>
      </c>
      <c r="B353" s="15">
        <v>2</v>
      </c>
      <c r="C353" s="15">
        <v>4</v>
      </c>
      <c r="D353" s="16" t="s">
        <v>883</v>
      </c>
      <c r="E353" s="16" t="s">
        <v>776</v>
      </c>
      <c r="F353" s="16" t="s">
        <v>881</v>
      </c>
      <c r="G353" s="16" t="s">
        <v>280</v>
      </c>
      <c r="H353" s="16" t="s">
        <v>355</v>
      </c>
      <c r="I353" s="15" t="s">
        <v>882</v>
      </c>
      <c r="J353" s="15">
        <v>99</v>
      </c>
      <c r="K353" s="10" t="s">
        <v>707</v>
      </c>
      <c r="L353" s="10">
        <v>25</v>
      </c>
      <c r="M353" s="19" t="s">
        <v>1428</v>
      </c>
      <c r="N353" s="19"/>
      <c r="O353" s="1"/>
      <c r="P353" s="1"/>
      <c r="Q353" s="16"/>
      <c r="R353" s="1"/>
      <c r="S353" s="1">
        <f t="shared" si="136"/>
        <v>0</v>
      </c>
      <c r="T353" s="1">
        <f t="shared" si="137"/>
        <v>0</v>
      </c>
      <c r="U353" s="1">
        <f t="shared" si="138"/>
        <v>0</v>
      </c>
      <c r="V353" s="1">
        <f t="shared" si="139"/>
        <v>0</v>
      </c>
      <c r="W353" s="1">
        <f t="shared" si="140"/>
        <v>0</v>
      </c>
      <c r="X353" s="1">
        <f t="shared" si="141"/>
        <v>0</v>
      </c>
      <c r="Y353" s="1">
        <f t="shared" si="142"/>
        <v>0</v>
      </c>
      <c r="Z353" s="1">
        <f t="shared" si="143"/>
        <v>0</v>
      </c>
      <c r="AA353" s="1">
        <f t="shared" si="144"/>
        <v>0</v>
      </c>
      <c r="AB353" s="1">
        <f t="shared" si="145"/>
        <v>0</v>
      </c>
      <c r="AC353" s="1"/>
      <c r="AD353" s="1">
        <f t="shared" si="146"/>
        <v>0</v>
      </c>
      <c r="AE353" s="1">
        <f t="shared" si="147"/>
        <v>0</v>
      </c>
      <c r="AF353" s="1">
        <f t="shared" si="132"/>
        <v>0</v>
      </c>
      <c r="AG353" s="1">
        <f t="shared" si="133"/>
        <v>0</v>
      </c>
      <c r="AH353" s="1">
        <f t="shared" si="134"/>
        <v>0</v>
      </c>
      <c r="AI353" s="1">
        <f t="shared" si="135"/>
        <v>1</v>
      </c>
      <c r="AJ353" s="1"/>
    </row>
    <row r="354" spans="1:16384" s="2" customFormat="1" ht="14.25" customHeight="1" x14ac:dyDescent="0.25">
      <c r="A354" s="34">
        <v>0</v>
      </c>
      <c r="B354" s="34">
        <v>2</v>
      </c>
      <c r="C354" s="34">
        <v>4</v>
      </c>
      <c r="D354" s="35" t="s">
        <v>926</v>
      </c>
      <c r="E354" s="35" t="s">
        <v>776</v>
      </c>
      <c r="F354" s="35" t="s">
        <v>848</v>
      </c>
      <c r="G354" s="35" t="s">
        <v>210</v>
      </c>
      <c r="H354" s="35" t="s">
        <v>355</v>
      </c>
      <c r="I354" s="34" t="s">
        <v>849</v>
      </c>
      <c r="J354" s="34">
        <v>99</v>
      </c>
      <c r="K354" s="36" t="s">
        <v>716</v>
      </c>
      <c r="L354" s="36" t="s">
        <v>708</v>
      </c>
      <c r="M354" s="37" t="s">
        <v>730</v>
      </c>
      <c r="N354" s="37" t="s">
        <v>1763</v>
      </c>
      <c r="O354" s="38">
        <v>1</v>
      </c>
      <c r="P354" s="38"/>
      <c r="Q354" s="35"/>
      <c r="R354" s="1"/>
      <c r="S354" s="1">
        <f t="shared" si="136"/>
        <v>0</v>
      </c>
      <c r="T354" s="1">
        <f t="shared" si="137"/>
        <v>0</v>
      </c>
      <c r="U354" s="1">
        <f t="shared" si="138"/>
        <v>0</v>
      </c>
      <c r="V354" s="1">
        <f t="shared" si="139"/>
        <v>0</v>
      </c>
      <c r="W354" s="1">
        <f t="shared" si="140"/>
        <v>0</v>
      </c>
      <c r="X354" s="1">
        <f t="shared" si="141"/>
        <v>0</v>
      </c>
      <c r="Y354" s="1">
        <f t="shared" si="142"/>
        <v>0</v>
      </c>
      <c r="Z354" s="1">
        <f t="shared" si="143"/>
        <v>0</v>
      </c>
      <c r="AA354" s="1">
        <f t="shared" si="144"/>
        <v>0</v>
      </c>
      <c r="AB354" s="1">
        <f t="shared" si="145"/>
        <v>0</v>
      </c>
      <c r="AC354" s="1"/>
      <c r="AD354" s="1">
        <f t="shared" si="146"/>
        <v>0</v>
      </c>
      <c r="AE354" s="1">
        <f t="shared" si="147"/>
        <v>1</v>
      </c>
      <c r="AF354" s="1">
        <f t="shared" si="132"/>
        <v>0</v>
      </c>
      <c r="AG354" s="1">
        <f t="shared" si="133"/>
        <v>1</v>
      </c>
      <c r="AH354" s="1">
        <f t="shared" si="134"/>
        <v>0</v>
      </c>
      <c r="AI354" s="1">
        <f t="shared" si="135"/>
        <v>1</v>
      </c>
      <c r="AJ354" s="1"/>
    </row>
    <row r="355" spans="1:16384" s="2" customFormat="1" ht="14.25" customHeight="1" x14ac:dyDescent="0.25">
      <c r="A355" s="47">
        <v>0</v>
      </c>
      <c r="B355" s="47">
        <v>2</v>
      </c>
      <c r="C355" s="47">
        <v>4</v>
      </c>
      <c r="D355" s="48" t="s">
        <v>1230</v>
      </c>
      <c r="E355" s="48" t="s">
        <v>1229</v>
      </c>
      <c r="F355" s="48" t="s">
        <v>1231</v>
      </c>
      <c r="G355" s="48" t="s">
        <v>537</v>
      </c>
      <c r="H355" s="48" t="s">
        <v>355</v>
      </c>
      <c r="I355" s="47" t="s">
        <v>1232</v>
      </c>
      <c r="J355" s="47">
        <v>99</v>
      </c>
      <c r="K355" s="49" t="s">
        <v>717</v>
      </c>
      <c r="L355" s="49" t="s">
        <v>698</v>
      </c>
      <c r="M355" s="50" t="s">
        <v>1429</v>
      </c>
      <c r="N355" s="50" t="s">
        <v>1754</v>
      </c>
      <c r="O355" s="51"/>
      <c r="P355" s="51"/>
      <c r="Q355" s="48"/>
      <c r="R355" s="1"/>
      <c r="S355" s="1">
        <f t="shared" si="136"/>
        <v>0</v>
      </c>
      <c r="T355" s="1">
        <f t="shared" si="137"/>
        <v>0</v>
      </c>
      <c r="U355" s="1">
        <f t="shared" si="138"/>
        <v>0</v>
      </c>
      <c r="V355" s="1">
        <f t="shared" si="139"/>
        <v>0</v>
      </c>
      <c r="W355" s="1">
        <f t="shared" si="140"/>
        <v>0</v>
      </c>
      <c r="X355" s="1">
        <f t="shared" si="141"/>
        <v>0</v>
      </c>
      <c r="Y355" s="1">
        <f t="shared" si="142"/>
        <v>0</v>
      </c>
      <c r="Z355" s="1">
        <f t="shared" si="143"/>
        <v>0</v>
      </c>
      <c r="AA355" s="1">
        <f t="shared" si="144"/>
        <v>0</v>
      </c>
      <c r="AB355" s="1">
        <f t="shared" si="145"/>
        <v>0</v>
      </c>
      <c r="AC355" s="1"/>
      <c r="AD355" s="1">
        <f t="shared" si="146"/>
        <v>0</v>
      </c>
      <c r="AE355" s="1">
        <f t="shared" si="147"/>
        <v>0</v>
      </c>
      <c r="AF355" s="1">
        <f t="shared" si="132"/>
        <v>0</v>
      </c>
      <c r="AG355" s="1">
        <f t="shared" si="133"/>
        <v>0</v>
      </c>
      <c r="AH355" s="1">
        <f t="shared" si="134"/>
        <v>0</v>
      </c>
      <c r="AI355" s="1">
        <f t="shared" si="135"/>
        <v>1</v>
      </c>
      <c r="AJ355" s="1"/>
    </row>
    <row r="356" spans="1:16384" s="2" customFormat="1" ht="14.25" customHeight="1" x14ac:dyDescent="0.25">
      <c r="A356" s="34">
        <v>0</v>
      </c>
      <c r="B356" s="34">
        <v>2</v>
      </c>
      <c r="C356" s="34">
        <v>4</v>
      </c>
      <c r="D356" s="35" t="s">
        <v>827</v>
      </c>
      <c r="E356" s="35" t="s">
        <v>592</v>
      </c>
      <c r="F356" s="35" t="s">
        <v>828</v>
      </c>
      <c r="G356" s="35" t="s">
        <v>941</v>
      </c>
      <c r="H356" s="35" t="s">
        <v>355</v>
      </c>
      <c r="I356" s="34" t="s">
        <v>955</v>
      </c>
      <c r="J356" s="34">
        <v>7</v>
      </c>
      <c r="K356" s="36" t="s">
        <v>716</v>
      </c>
      <c r="L356" s="36" t="s">
        <v>39</v>
      </c>
      <c r="M356" s="37" t="s">
        <v>39</v>
      </c>
      <c r="N356" s="37" t="s">
        <v>1734</v>
      </c>
      <c r="O356" s="38">
        <v>1</v>
      </c>
      <c r="P356" s="38">
        <v>1</v>
      </c>
      <c r="Q356" s="35"/>
      <c r="R356" s="1"/>
      <c r="S356" s="1">
        <f t="shared" si="136"/>
        <v>0</v>
      </c>
      <c r="T356" s="1">
        <f t="shared" si="137"/>
        <v>0</v>
      </c>
      <c r="U356" s="1">
        <f t="shared" si="138"/>
        <v>0</v>
      </c>
      <c r="V356" s="1">
        <f t="shared" si="139"/>
        <v>0</v>
      </c>
      <c r="W356" s="1">
        <f t="shared" si="140"/>
        <v>0</v>
      </c>
      <c r="X356" s="1">
        <f t="shared" si="141"/>
        <v>0</v>
      </c>
      <c r="Y356" s="1">
        <f t="shared" si="142"/>
        <v>1</v>
      </c>
      <c r="Z356" s="1">
        <f t="shared" si="143"/>
        <v>0</v>
      </c>
      <c r="AA356" s="1">
        <f t="shared" si="144"/>
        <v>0</v>
      </c>
      <c r="AB356" s="1">
        <f t="shared" si="145"/>
        <v>0</v>
      </c>
      <c r="AC356" s="1"/>
      <c r="AD356" s="1">
        <f t="shared" si="146"/>
        <v>1</v>
      </c>
      <c r="AE356" s="1">
        <f t="shared" si="147"/>
        <v>0</v>
      </c>
      <c r="AF356" s="1">
        <f t="shared" si="132"/>
        <v>1</v>
      </c>
      <c r="AG356" s="1">
        <f t="shared" si="133"/>
        <v>0</v>
      </c>
      <c r="AH356" s="1">
        <f t="shared" si="134"/>
        <v>1</v>
      </c>
      <c r="AI356" s="1">
        <f t="shared" si="135"/>
        <v>0</v>
      </c>
      <c r="AJ356" s="1"/>
    </row>
    <row r="357" spans="1:16384" s="2" customFormat="1" ht="14.25" customHeight="1" x14ac:dyDescent="0.25">
      <c r="A357" s="47">
        <v>0</v>
      </c>
      <c r="B357" s="47">
        <v>2</v>
      </c>
      <c r="C357" s="47">
        <v>4</v>
      </c>
      <c r="D357" s="48" t="s">
        <v>1612</v>
      </c>
      <c r="E357" s="48" t="s">
        <v>1662</v>
      </c>
      <c r="F357" s="48" t="s">
        <v>1613</v>
      </c>
      <c r="G357" s="48" t="s">
        <v>334</v>
      </c>
      <c r="H357" s="48" t="s">
        <v>355</v>
      </c>
      <c r="I357" s="47" t="s">
        <v>30</v>
      </c>
      <c r="J357" s="47">
        <v>99</v>
      </c>
      <c r="K357" s="49" t="s">
        <v>717</v>
      </c>
      <c r="L357" s="49">
        <v>20</v>
      </c>
      <c r="M357" s="50" t="s">
        <v>39</v>
      </c>
      <c r="N357" s="50" t="s">
        <v>1748</v>
      </c>
      <c r="O357" s="51"/>
      <c r="P357" s="51"/>
      <c r="Q357" s="48"/>
      <c r="R357" s="1"/>
      <c r="S357" s="1">
        <f t="shared" si="136"/>
        <v>0</v>
      </c>
      <c r="T357" s="1">
        <f t="shared" si="137"/>
        <v>0</v>
      </c>
      <c r="U357" s="1">
        <f t="shared" si="138"/>
        <v>0</v>
      </c>
      <c r="V357" s="1">
        <f t="shared" si="139"/>
        <v>0</v>
      </c>
      <c r="W357" s="1">
        <f t="shared" si="140"/>
        <v>0</v>
      </c>
      <c r="X357" s="1">
        <f t="shared" si="141"/>
        <v>0</v>
      </c>
      <c r="Y357" s="1">
        <f t="shared" si="142"/>
        <v>0</v>
      </c>
      <c r="Z357" s="1">
        <f t="shared" si="143"/>
        <v>0</v>
      </c>
      <c r="AA357" s="1">
        <f t="shared" si="144"/>
        <v>0</v>
      </c>
      <c r="AB357" s="1">
        <f t="shared" si="145"/>
        <v>0</v>
      </c>
      <c r="AC357" s="1"/>
      <c r="AD357" s="1">
        <f t="shared" ref="AD357:AD360" si="148">+O357*P357</f>
        <v>0</v>
      </c>
      <c r="AE357" s="1">
        <f t="shared" ref="AE357:AE360" si="149">O357*(1-P357)</f>
        <v>0</v>
      </c>
      <c r="AF357" s="1">
        <f t="shared" ref="AF357:AF360" si="150">+O357*P357*(1-A357)</f>
        <v>0</v>
      </c>
      <c r="AG357" s="1">
        <f t="shared" ref="AG357:AG360" si="151">O357*(1-P357)*(1-A357)</f>
        <v>0</v>
      </c>
      <c r="AH357" s="1">
        <f t="shared" ref="AH357:AH360" si="152">+P357*(1-A357)</f>
        <v>0</v>
      </c>
      <c r="AI357" s="1">
        <f t="shared" ref="AI357:AI360" si="153">+(1-A357)*(1-P357)</f>
        <v>1</v>
      </c>
      <c r="AJ357" s="1"/>
    </row>
    <row r="358" spans="1:16384" s="2" customFormat="1" ht="14.25" customHeight="1" x14ac:dyDescent="0.25">
      <c r="A358" s="34">
        <v>0</v>
      </c>
      <c r="B358" s="34">
        <v>2</v>
      </c>
      <c r="C358" s="34">
        <v>5</v>
      </c>
      <c r="D358" s="35" t="s">
        <v>58</v>
      </c>
      <c r="E358" s="35" t="s">
        <v>44</v>
      </c>
      <c r="F358" s="35" t="s">
        <v>674</v>
      </c>
      <c r="G358" s="35" t="s">
        <v>224</v>
      </c>
      <c r="H358" s="35" t="s">
        <v>355</v>
      </c>
      <c r="I358" s="34" t="s">
        <v>398</v>
      </c>
      <c r="J358" s="34">
        <v>8</v>
      </c>
      <c r="K358" s="36" t="s">
        <v>717</v>
      </c>
      <c r="L358" s="36" t="s">
        <v>720</v>
      </c>
      <c r="M358" s="37" t="s">
        <v>1430</v>
      </c>
      <c r="N358" s="37" t="s">
        <v>1755</v>
      </c>
      <c r="O358" s="38">
        <v>1</v>
      </c>
      <c r="P358" s="38"/>
      <c r="Q358" s="35"/>
      <c r="R358" s="1"/>
      <c r="S358" s="1">
        <f t="shared" si="136"/>
        <v>0</v>
      </c>
      <c r="T358" s="1">
        <f t="shared" si="137"/>
        <v>0</v>
      </c>
      <c r="U358" s="1">
        <f t="shared" si="138"/>
        <v>0</v>
      </c>
      <c r="V358" s="1">
        <f t="shared" si="139"/>
        <v>0</v>
      </c>
      <c r="W358" s="1">
        <f t="shared" si="140"/>
        <v>0</v>
      </c>
      <c r="X358" s="1">
        <f t="shared" si="141"/>
        <v>0</v>
      </c>
      <c r="Y358" s="1">
        <f t="shared" si="142"/>
        <v>0</v>
      </c>
      <c r="Z358" s="1">
        <f t="shared" si="143"/>
        <v>1</v>
      </c>
      <c r="AA358" s="1">
        <f t="shared" si="144"/>
        <v>0</v>
      </c>
      <c r="AB358" s="1">
        <f t="shared" si="145"/>
        <v>0</v>
      </c>
      <c r="AC358" s="1"/>
      <c r="AD358" s="1">
        <f t="shared" si="148"/>
        <v>0</v>
      </c>
      <c r="AE358" s="1">
        <f t="shared" si="149"/>
        <v>1</v>
      </c>
      <c r="AF358" s="1">
        <f t="shared" si="150"/>
        <v>0</v>
      </c>
      <c r="AG358" s="1">
        <f t="shared" si="151"/>
        <v>1</v>
      </c>
      <c r="AH358" s="1">
        <f t="shared" si="152"/>
        <v>0</v>
      </c>
      <c r="AI358" s="1">
        <f t="shared" si="153"/>
        <v>1</v>
      </c>
      <c r="AJ358" s="1"/>
    </row>
    <row r="359" spans="1:16384" s="2" customFormat="1" ht="14.25" customHeight="1" x14ac:dyDescent="0.25">
      <c r="A359" s="47">
        <v>0</v>
      </c>
      <c r="B359" s="47">
        <v>2</v>
      </c>
      <c r="C359" s="47">
        <v>5</v>
      </c>
      <c r="D359" s="48" t="s">
        <v>836</v>
      </c>
      <c r="E359" s="48" t="s">
        <v>835</v>
      </c>
      <c r="F359" s="48" t="s">
        <v>928</v>
      </c>
      <c r="G359" s="48" t="s">
        <v>214</v>
      </c>
      <c r="H359" s="48" t="s">
        <v>355</v>
      </c>
      <c r="I359" s="47" t="s">
        <v>837</v>
      </c>
      <c r="J359" s="47">
        <v>1</v>
      </c>
      <c r="K359" s="49" t="s">
        <v>716</v>
      </c>
      <c r="L359" s="49" t="s">
        <v>697</v>
      </c>
      <c r="M359" s="50" t="s">
        <v>1431</v>
      </c>
      <c r="N359" s="50" t="s">
        <v>1742</v>
      </c>
      <c r="O359" s="51"/>
      <c r="P359" s="51"/>
      <c r="Q359" s="48"/>
      <c r="R359" s="1"/>
      <c r="S359" s="1">
        <f t="shared" si="136"/>
        <v>1</v>
      </c>
      <c r="T359" s="1">
        <f t="shared" si="137"/>
        <v>0</v>
      </c>
      <c r="U359" s="1">
        <f t="shared" si="138"/>
        <v>0</v>
      </c>
      <c r="V359" s="1">
        <f t="shared" si="139"/>
        <v>0</v>
      </c>
      <c r="W359" s="1">
        <f t="shared" si="140"/>
        <v>0</v>
      </c>
      <c r="X359" s="1">
        <f t="shared" si="141"/>
        <v>0</v>
      </c>
      <c r="Y359" s="1">
        <f t="shared" si="142"/>
        <v>0</v>
      </c>
      <c r="Z359" s="1">
        <f t="shared" si="143"/>
        <v>0</v>
      </c>
      <c r="AA359" s="1">
        <f t="shared" si="144"/>
        <v>0</v>
      </c>
      <c r="AB359" s="1">
        <f t="shared" si="145"/>
        <v>0</v>
      </c>
      <c r="AC359" s="1"/>
      <c r="AD359" s="1">
        <f t="shared" si="148"/>
        <v>0</v>
      </c>
      <c r="AE359" s="1">
        <f t="shared" si="149"/>
        <v>0</v>
      </c>
      <c r="AF359" s="1">
        <f t="shared" si="150"/>
        <v>0</v>
      </c>
      <c r="AG359" s="1">
        <f t="shared" si="151"/>
        <v>0</v>
      </c>
      <c r="AH359" s="1">
        <f t="shared" si="152"/>
        <v>0</v>
      </c>
      <c r="AI359" s="1">
        <f t="shared" si="153"/>
        <v>1</v>
      </c>
      <c r="AJ359" s="1"/>
    </row>
    <row r="360" spans="1:16384" s="2" customFormat="1" ht="14.25" customHeight="1" x14ac:dyDescent="0.25">
      <c r="A360" s="47">
        <v>0</v>
      </c>
      <c r="B360" s="47">
        <v>2</v>
      </c>
      <c r="C360" s="47">
        <v>5</v>
      </c>
      <c r="D360" s="48" t="s">
        <v>65</v>
      </c>
      <c r="E360" s="48" t="s">
        <v>165</v>
      </c>
      <c r="F360" s="48" t="s">
        <v>549</v>
      </c>
      <c r="G360" s="48" t="s">
        <v>195</v>
      </c>
      <c r="H360" s="48" t="s">
        <v>355</v>
      </c>
      <c r="I360" s="47" t="s">
        <v>554</v>
      </c>
      <c r="J360" s="47">
        <v>9</v>
      </c>
      <c r="K360" s="49" t="s">
        <v>717</v>
      </c>
      <c r="L360" s="49" t="s">
        <v>690</v>
      </c>
      <c r="M360" s="50" t="s">
        <v>1450</v>
      </c>
      <c r="N360" s="50" t="s">
        <v>1745</v>
      </c>
      <c r="O360" s="51"/>
      <c r="P360" s="51"/>
      <c r="Q360" s="48"/>
      <c r="R360" s="1"/>
      <c r="S360" s="1">
        <f t="shared" si="136"/>
        <v>0</v>
      </c>
      <c r="T360" s="1">
        <f t="shared" si="137"/>
        <v>0</v>
      </c>
      <c r="U360" s="1">
        <f t="shared" si="138"/>
        <v>0</v>
      </c>
      <c r="V360" s="1">
        <f t="shared" si="139"/>
        <v>0</v>
      </c>
      <c r="W360" s="1">
        <f t="shared" si="140"/>
        <v>0</v>
      </c>
      <c r="X360" s="1">
        <f t="shared" si="141"/>
        <v>0</v>
      </c>
      <c r="Y360" s="1">
        <f t="shared" si="142"/>
        <v>0</v>
      </c>
      <c r="Z360" s="1">
        <f t="shared" si="143"/>
        <v>0</v>
      </c>
      <c r="AA360" s="1">
        <f t="shared" si="144"/>
        <v>1</v>
      </c>
      <c r="AB360" s="1">
        <f t="shared" si="145"/>
        <v>0</v>
      </c>
      <c r="AC360" s="1"/>
      <c r="AD360" s="1">
        <f t="shared" si="148"/>
        <v>0</v>
      </c>
      <c r="AE360" s="1">
        <f t="shared" si="149"/>
        <v>0</v>
      </c>
      <c r="AF360" s="1">
        <f t="shared" si="150"/>
        <v>0</v>
      </c>
      <c r="AG360" s="1">
        <f t="shared" si="151"/>
        <v>0</v>
      </c>
      <c r="AH360" s="1">
        <f t="shared" si="152"/>
        <v>0</v>
      </c>
      <c r="AI360" s="1">
        <f t="shared" si="153"/>
        <v>1</v>
      </c>
      <c r="AJ360" s="1"/>
    </row>
    <row r="361" spans="1:16384" s="2" customFormat="1" ht="14.25" customHeight="1" x14ac:dyDescent="0.25">
      <c r="A361" s="47">
        <v>0</v>
      </c>
      <c r="B361" s="47">
        <v>2</v>
      </c>
      <c r="C361" s="47">
        <v>5</v>
      </c>
      <c r="D361" s="48" t="s">
        <v>1493</v>
      </c>
      <c r="E361" s="48" t="s">
        <v>35</v>
      </c>
      <c r="F361" s="68" t="s">
        <v>1880</v>
      </c>
      <c r="G361" s="48" t="s">
        <v>223</v>
      </c>
      <c r="H361" s="48" t="s">
        <v>355</v>
      </c>
      <c r="I361" s="47" t="s">
        <v>1693</v>
      </c>
      <c r="J361" s="47">
        <v>99</v>
      </c>
      <c r="K361" s="49" t="s">
        <v>717</v>
      </c>
      <c r="L361" s="49">
        <v>25</v>
      </c>
      <c r="M361" s="50" t="s">
        <v>39</v>
      </c>
      <c r="N361" s="50" t="s">
        <v>1744</v>
      </c>
      <c r="O361" s="51"/>
      <c r="P361" s="51"/>
      <c r="Q361" s="48"/>
      <c r="R361" s="1"/>
      <c r="S361" s="1">
        <f t="shared" si="136"/>
        <v>0</v>
      </c>
      <c r="T361" s="1">
        <f t="shared" si="137"/>
        <v>0</v>
      </c>
      <c r="U361" s="1">
        <f t="shared" si="138"/>
        <v>0</v>
      </c>
      <c r="V361" s="1">
        <f t="shared" si="139"/>
        <v>0</v>
      </c>
      <c r="W361" s="1">
        <f t="shared" si="140"/>
        <v>0</v>
      </c>
      <c r="X361" s="1">
        <f t="shared" si="141"/>
        <v>0</v>
      </c>
      <c r="Y361" s="1">
        <f t="shared" si="142"/>
        <v>0</v>
      </c>
      <c r="Z361" s="1">
        <f t="shared" si="143"/>
        <v>0</v>
      </c>
      <c r="AA361" s="1">
        <f t="shared" si="144"/>
        <v>0</v>
      </c>
      <c r="AB361" s="1">
        <f t="shared" si="145"/>
        <v>0</v>
      </c>
      <c r="AC361" s="1"/>
      <c r="AD361" s="1">
        <f t="shared" si="146"/>
        <v>0</v>
      </c>
      <c r="AE361" s="1">
        <f t="shared" si="147"/>
        <v>0</v>
      </c>
      <c r="AF361" s="1">
        <f t="shared" si="132"/>
        <v>0</v>
      </c>
      <c r="AG361" s="1">
        <f t="shared" si="133"/>
        <v>0</v>
      </c>
      <c r="AH361" s="1">
        <f t="shared" si="134"/>
        <v>0</v>
      </c>
      <c r="AI361" s="1">
        <f t="shared" si="135"/>
        <v>1</v>
      </c>
      <c r="AJ361" s="1"/>
    </row>
    <row r="362" spans="1:16384" s="2" customFormat="1" ht="14.25" customHeight="1" x14ac:dyDescent="0.25">
      <c r="A362" s="47">
        <v>0</v>
      </c>
      <c r="B362" s="47">
        <v>2</v>
      </c>
      <c r="C362" s="47">
        <v>5</v>
      </c>
      <c r="D362" s="48" t="s">
        <v>1826</v>
      </c>
      <c r="E362" s="48" t="s">
        <v>776</v>
      </c>
      <c r="F362" s="48" t="s">
        <v>1827</v>
      </c>
      <c r="G362" s="48" t="s">
        <v>225</v>
      </c>
      <c r="H362" s="48" t="s">
        <v>355</v>
      </c>
      <c r="I362" s="47" t="s">
        <v>1828</v>
      </c>
      <c r="J362" s="47">
        <v>99</v>
      </c>
      <c r="K362" s="49" t="s">
        <v>1829</v>
      </c>
      <c r="L362" s="49">
        <v>40</v>
      </c>
      <c r="M362" s="50" t="s">
        <v>1830</v>
      </c>
      <c r="N362" s="50" t="s">
        <v>1816</v>
      </c>
      <c r="O362" s="51"/>
      <c r="P362" s="51"/>
      <c r="Q362" s="48"/>
      <c r="R362" s="1"/>
      <c r="S362" s="1">
        <f t="shared" si="136"/>
        <v>0</v>
      </c>
      <c r="T362" s="1">
        <f t="shared" si="137"/>
        <v>0</v>
      </c>
      <c r="U362" s="1">
        <f t="shared" si="138"/>
        <v>0</v>
      </c>
      <c r="V362" s="1">
        <f t="shared" si="139"/>
        <v>0</v>
      </c>
      <c r="W362" s="1">
        <f t="shared" si="140"/>
        <v>0</v>
      </c>
      <c r="X362" s="1">
        <f t="shared" si="141"/>
        <v>0</v>
      </c>
      <c r="Y362" s="1">
        <f t="shared" si="142"/>
        <v>0</v>
      </c>
      <c r="Z362" s="1">
        <f t="shared" si="143"/>
        <v>0</v>
      </c>
      <c r="AA362" s="1">
        <f t="shared" si="144"/>
        <v>0</v>
      </c>
      <c r="AB362" s="1">
        <f t="shared" si="145"/>
        <v>0</v>
      </c>
      <c r="AC362" s="1"/>
      <c r="AD362" s="1">
        <f t="shared" si="146"/>
        <v>0</v>
      </c>
      <c r="AE362" s="1">
        <f t="shared" si="147"/>
        <v>0</v>
      </c>
      <c r="AF362" s="1">
        <f t="shared" si="132"/>
        <v>0</v>
      </c>
      <c r="AG362" s="1">
        <f t="shared" si="133"/>
        <v>0</v>
      </c>
      <c r="AH362" s="1">
        <f t="shared" si="134"/>
        <v>0</v>
      </c>
      <c r="AI362" s="1">
        <f t="shared" si="135"/>
        <v>1</v>
      </c>
      <c r="AJ362" s="1"/>
    </row>
    <row r="363" spans="1:16384" s="2" customFormat="1" ht="14.25" customHeight="1" x14ac:dyDescent="0.25">
      <c r="A363" s="34">
        <v>0</v>
      </c>
      <c r="B363" s="34">
        <v>2</v>
      </c>
      <c r="C363" s="34">
        <v>5</v>
      </c>
      <c r="D363" s="35" t="s">
        <v>618</v>
      </c>
      <c r="E363" s="35" t="s">
        <v>689</v>
      </c>
      <c r="F363" s="35" t="s">
        <v>619</v>
      </c>
      <c r="G363" s="35" t="s">
        <v>288</v>
      </c>
      <c r="H363" s="35" t="s">
        <v>355</v>
      </c>
      <c r="I363" s="34" t="s">
        <v>620</v>
      </c>
      <c r="J363" s="34">
        <v>99</v>
      </c>
      <c r="K363" s="36" t="s">
        <v>716</v>
      </c>
      <c r="L363" s="36" t="s">
        <v>708</v>
      </c>
      <c r="M363" s="37" t="s">
        <v>1432</v>
      </c>
      <c r="N363" s="37" t="s">
        <v>1750</v>
      </c>
      <c r="O363" s="38">
        <v>1</v>
      </c>
      <c r="P363" s="38"/>
      <c r="Q363" s="35"/>
      <c r="R363" s="1"/>
      <c r="S363" s="1">
        <f t="shared" si="136"/>
        <v>0</v>
      </c>
      <c r="T363" s="1">
        <f t="shared" si="137"/>
        <v>0</v>
      </c>
      <c r="U363" s="1">
        <f t="shared" si="138"/>
        <v>0</v>
      </c>
      <c r="V363" s="1">
        <f t="shared" si="139"/>
        <v>0</v>
      </c>
      <c r="W363" s="1">
        <f t="shared" si="140"/>
        <v>0</v>
      </c>
      <c r="X363" s="1">
        <f t="shared" si="141"/>
        <v>0</v>
      </c>
      <c r="Y363" s="1">
        <f t="shared" si="142"/>
        <v>0</v>
      </c>
      <c r="Z363" s="1">
        <f t="shared" si="143"/>
        <v>0</v>
      </c>
      <c r="AA363" s="1">
        <f t="shared" si="144"/>
        <v>0</v>
      </c>
      <c r="AB363" s="1">
        <f t="shared" si="145"/>
        <v>0</v>
      </c>
      <c r="AC363" s="1"/>
      <c r="AD363" s="1">
        <f t="shared" si="146"/>
        <v>0</v>
      </c>
      <c r="AE363" s="1">
        <f t="shared" si="147"/>
        <v>1</v>
      </c>
      <c r="AF363" s="1">
        <f t="shared" si="132"/>
        <v>0</v>
      </c>
      <c r="AG363" s="1">
        <f t="shared" si="133"/>
        <v>1</v>
      </c>
      <c r="AH363" s="1">
        <f t="shared" si="134"/>
        <v>0</v>
      </c>
      <c r="AI363" s="1">
        <f t="shared" si="135"/>
        <v>1</v>
      </c>
      <c r="AJ363" s="1"/>
    </row>
    <row r="364" spans="1:16384" s="2" customFormat="1" ht="14.25" customHeight="1" x14ac:dyDescent="0.25">
      <c r="A364" s="47">
        <v>0</v>
      </c>
      <c r="B364" s="47">
        <v>2</v>
      </c>
      <c r="C364" s="47">
        <v>5</v>
      </c>
      <c r="D364" s="48" t="s">
        <v>1495</v>
      </c>
      <c r="E364" s="48" t="s">
        <v>776</v>
      </c>
      <c r="F364" s="48" t="s">
        <v>1496</v>
      </c>
      <c r="G364" s="48" t="s">
        <v>197</v>
      </c>
      <c r="H364" s="48" t="s">
        <v>355</v>
      </c>
      <c r="I364" s="47" t="s">
        <v>1497</v>
      </c>
      <c r="J364" s="47">
        <v>99</v>
      </c>
      <c r="K364" s="49" t="s">
        <v>958</v>
      </c>
      <c r="L364" s="49" t="s">
        <v>697</v>
      </c>
      <c r="M364" s="50" t="s">
        <v>1423</v>
      </c>
      <c r="N364" s="50" t="s">
        <v>1742</v>
      </c>
      <c r="O364" s="51"/>
      <c r="P364" s="51"/>
      <c r="Q364" s="48"/>
      <c r="R364" s="1"/>
      <c r="S364" s="1">
        <f t="shared" si="136"/>
        <v>0</v>
      </c>
      <c r="T364" s="1">
        <f t="shared" si="137"/>
        <v>0</v>
      </c>
      <c r="U364" s="1">
        <f t="shared" si="138"/>
        <v>0</v>
      </c>
      <c r="V364" s="1">
        <f t="shared" si="139"/>
        <v>0</v>
      </c>
      <c r="W364" s="1">
        <f t="shared" si="140"/>
        <v>0</v>
      </c>
      <c r="X364" s="1">
        <f t="shared" si="141"/>
        <v>0</v>
      </c>
      <c r="Y364" s="1">
        <f t="shared" si="142"/>
        <v>0</v>
      </c>
      <c r="Z364" s="1">
        <f t="shared" si="143"/>
        <v>0</v>
      </c>
      <c r="AA364" s="1">
        <f t="shared" si="144"/>
        <v>0</v>
      </c>
      <c r="AB364" s="1">
        <f t="shared" si="145"/>
        <v>0</v>
      </c>
      <c r="AC364" s="1"/>
      <c r="AD364" s="1">
        <f t="shared" si="146"/>
        <v>0</v>
      </c>
      <c r="AE364" s="1">
        <f t="shared" si="147"/>
        <v>0</v>
      </c>
      <c r="AF364" s="1">
        <f t="shared" si="132"/>
        <v>0</v>
      </c>
      <c r="AG364" s="1">
        <f t="shared" si="133"/>
        <v>0</v>
      </c>
      <c r="AH364" s="1">
        <f t="shared" si="134"/>
        <v>0</v>
      </c>
      <c r="AI364" s="1">
        <f t="shared" si="135"/>
        <v>1</v>
      </c>
      <c r="AJ364" s="1"/>
    </row>
    <row r="365" spans="1:16384" s="2" customFormat="1" ht="14.25" customHeight="1" x14ac:dyDescent="0.25">
      <c r="A365" s="47">
        <v>0</v>
      </c>
      <c r="B365" s="47">
        <v>2</v>
      </c>
      <c r="C365" s="47">
        <v>5</v>
      </c>
      <c r="D365" s="48" t="s">
        <v>779</v>
      </c>
      <c r="E365" s="48" t="s">
        <v>776</v>
      </c>
      <c r="F365" s="48" t="s">
        <v>781</v>
      </c>
      <c r="G365" s="48" t="s">
        <v>208</v>
      </c>
      <c r="H365" s="48" t="s">
        <v>355</v>
      </c>
      <c r="I365" s="47" t="s">
        <v>780</v>
      </c>
      <c r="J365" s="47">
        <v>99</v>
      </c>
      <c r="K365" s="49" t="s">
        <v>716</v>
      </c>
      <c r="L365" s="49" t="s">
        <v>698</v>
      </c>
      <c r="M365" s="50" t="s">
        <v>1433</v>
      </c>
      <c r="N365" s="50" t="s">
        <v>1742</v>
      </c>
      <c r="O365" s="51"/>
      <c r="P365" s="51"/>
      <c r="Q365" s="48"/>
      <c r="R365" s="34"/>
      <c r="S365" s="34">
        <f t="shared" si="136"/>
        <v>0</v>
      </c>
      <c r="T365" s="34">
        <f t="shared" si="137"/>
        <v>0</v>
      </c>
      <c r="U365" s="35">
        <f t="shared" si="138"/>
        <v>0</v>
      </c>
      <c r="V365" s="35">
        <f t="shared" si="139"/>
        <v>0</v>
      </c>
      <c r="W365" s="35">
        <f t="shared" si="140"/>
        <v>0</v>
      </c>
      <c r="X365" s="35">
        <f t="shared" si="141"/>
        <v>0</v>
      </c>
      <c r="Y365" s="35">
        <f t="shared" si="142"/>
        <v>0</v>
      </c>
      <c r="Z365" s="34">
        <f t="shared" si="143"/>
        <v>0</v>
      </c>
      <c r="AA365" s="34">
        <f t="shared" si="144"/>
        <v>0</v>
      </c>
      <c r="AB365" s="36">
        <f t="shared" si="145"/>
        <v>0</v>
      </c>
      <c r="AC365" s="36"/>
      <c r="AD365" s="37">
        <f t="shared" si="146"/>
        <v>0</v>
      </c>
      <c r="AE365" s="37">
        <f t="shared" si="147"/>
        <v>0</v>
      </c>
      <c r="AF365" s="38">
        <f t="shared" si="132"/>
        <v>0</v>
      </c>
      <c r="AG365" s="38">
        <f t="shared" si="133"/>
        <v>0</v>
      </c>
      <c r="AH365" s="39">
        <f t="shared" si="134"/>
        <v>0</v>
      </c>
      <c r="AI365" s="34">
        <f t="shared" si="135"/>
        <v>1</v>
      </c>
      <c r="AJ365" s="34"/>
      <c r="AK365" s="34"/>
      <c r="AL365" s="35"/>
      <c r="AM365" s="35"/>
      <c r="AN365" s="35"/>
      <c r="AO365" s="35"/>
      <c r="AP365" s="35"/>
      <c r="AQ365" s="34"/>
      <c r="AR365" s="34"/>
      <c r="AS365" s="36"/>
      <c r="AT365" s="36"/>
      <c r="AU365" s="37"/>
      <c r="AV365" s="37"/>
      <c r="AW365" s="38"/>
      <c r="AX365" s="38"/>
      <c r="AY365" s="39"/>
      <c r="AZ365" s="34"/>
      <c r="BA365" s="34"/>
      <c r="BB365" s="34"/>
      <c r="BC365" s="35"/>
      <c r="BD365" s="35"/>
      <c r="BE365" s="35"/>
      <c r="BF365" s="35"/>
      <c r="BG365" s="35"/>
      <c r="BH365" s="34"/>
      <c r="BI365" s="34"/>
      <c r="BJ365" s="36"/>
      <c r="BK365" s="36"/>
      <c r="BL365" s="37"/>
      <c r="BM365" s="37"/>
      <c r="BN365" s="38"/>
      <c r="BO365" s="38"/>
      <c r="BP365" s="39"/>
      <c r="BQ365" s="34"/>
      <c r="BR365" s="34"/>
      <c r="BS365" s="34"/>
      <c r="BT365" s="35"/>
      <c r="BU365" s="35"/>
      <c r="BV365" s="35"/>
      <c r="BW365" s="35"/>
      <c r="BX365" s="35"/>
      <c r="BY365" s="34"/>
      <c r="BZ365" s="34"/>
      <c r="CA365" s="36"/>
      <c r="CB365" s="36"/>
      <c r="CC365" s="37"/>
      <c r="CD365" s="37"/>
      <c r="CE365" s="38"/>
      <c r="CF365" s="38"/>
      <c r="CG365" s="39"/>
      <c r="CH365" s="34"/>
      <c r="CI365" s="34"/>
      <c r="CJ365" s="34"/>
      <c r="CK365" s="35"/>
      <c r="CL365" s="35"/>
      <c r="CM365" s="35"/>
      <c r="CN365" s="35"/>
      <c r="CO365" s="35"/>
      <c r="CP365" s="34"/>
      <c r="CQ365" s="34"/>
      <c r="CR365" s="36"/>
      <c r="CS365" s="36"/>
      <c r="CT365" s="37"/>
      <c r="CU365" s="37"/>
      <c r="CV365" s="38"/>
      <c r="CW365" s="38"/>
      <c r="CX365" s="39"/>
      <c r="CY365" s="34"/>
      <c r="CZ365" s="34"/>
      <c r="DA365" s="34"/>
      <c r="DB365" s="35"/>
      <c r="DC365" s="35"/>
      <c r="DD365" s="35"/>
      <c r="DE365" s="35"/>
      <c r="DF365" s="35"/>
      <c r="DG365" s="34"/>
      <c r="DH365" s="34"/>
      <c r="DI365" s="36"/>
      <c r="DJ365" s="36"/>
      <c r="DK365" s="37"/>
      <c r="DL365" s="37"/>
      <c r="DM365" s="38"/>
      <c r="DN365" s="38"/>
      <c r="DO365" s="39"/>
      <c r="DP365" s="34"/>
      <c r="DQ365" s="34"/>
      <c r="DR365" s="34"/>
      <c r="DS365" s="35"/>
      <c r="DT365" s="35"/>
      <c r="DU365" s="35"/>
      <c r="DV365" s="35"/>
      <c r="DW365" s="35"/>
      <c r="DX365" s="34"/>
      <c r="DY365" s="34"/>
      <c r="DZ365" s="36"/>
      <c r="EA365" s="36"/>
      <c r="EB365" s="37"/>
      <c r="EC365" s="37"/>
      <c r="ED365" s="38"/>
      <c r="EE365" s="38"/>
      <c r="EF365" s="39"/>
      <c r="EG365" s="34"/>
      <c r="EH365" s="34"/>
      <c r="EI365" s="34"/>
      <c r="EJ365" s="35"/>
      <c r="EK365" s="35"/>
      <c r="EL365" s="35"/>
      <c r="EM365" s="35"/>
      <c r="EN365" s="35"/>
      <c r="EO365" s="34"/>
      <c r="EP365" s="34"/>
      <c r="EQ365" s="36"/>
      <c r="ER365" s="36"/>
      <c r="ES365" s="37"/>
      <c r="ET365" s="37"/>
      <c r="EU365" s="38"/>
      <c r="EV365" s="38"/>
      <c r="EW365" s="39"/>
      <c r="EX365" s="34"/>
      <c r="EY365" s="34"/>
      <c r="EZ365" s="34"/>
      <c r="FA365" s="35"/>
      <c r="FB365" s="35"/>
      <c r="FC365" s="35"/>
      <c r="FD365" s="35"/>
      <c r="FE365" s="35"/>
      <c r="FF365" s="34"/>
      <c r="FG365" s="34"/>
      <c r="FH365" s="36"/>
      <c r="FI365" s="36"/>
      <c r="FJ365" s="37"/>
      <c r="FK365" s="37"/>
      <c r="FL365" s="38"/>
      <c r="FM365" s="38"/>
      <c r="FN365" s="39"/>
      <c r="FO365" s="34"/>
      <c r="FP365" s="34"/>
      <c r="FQ365" s="34"/>
      <c r="FR365" s="35"/>
      <c r="FS365" s="35"/>
      <c r="FT365" s="35"/>
      <c r="FU365" s="35"/>
      <c r="FV365" s="35"/>
      <c r="FW365" s="34"/>
      <c r="FX365" s="34"/>
      <c r="FY365" s="36"/>
      <c r="FZ365" s="36"/>
      <c r="GA365" s="37"/>
      <c r="GB365" s="37"/>
      <c r="GC365" s="38"/>
      <c r="GD365" s="38"/>
      <c r="GE365" s="39"/>
      <c r="GF365" s="34"/>
      <c r="GG365" s="34"/>
      <c r="GH365" s="34"/>
      <c r="GI365" s="35"/>
      <c r="GJ365" s="35"/>
      <c r="GK365" s="35"/>
      <c r="GL365" s="35"/>
      <c r="GM365" s="35"/>
      <c r="GN365" s="34"/>
      <c r="GO365" s="34"/>
      <c r="GP365" s="36"/>
      <c r="GQ365" s="36"/>
      <c r="GR365" s="37"/>
      <c r="GS365" s="37"/>
      <c r="GT365" s="38"/>
      <c r="GU365" s="38"/>
      <c r="GV365" s="39"/>
      <c r="GW365" s="34"/>
      <c r="GX365" s="34"/>
      <c r="GY365" s="34"/>
      <c r="GZ365" s="35"/>
      <c r="HA365" s="35"/>
      <c r="HB365" s="35"/>
      <c r="HC365" s="35"/>
      <c r="HD365" s="35"/>
      <c r="HE365" s="34"/>
      <c r="HF365" s="34"/>
      <c r="HG365" s="36"/>
      <c r="HH365" s="36"/>
      <c r="HI365" s="37"/>
      <c r="HJ365" s="37"/>
      <c r="HK365" s="38"/>
      <c r="HL365" s="38"/>
      <c r="HM365" s="39"/>
      <c r="HN365" s="34"/>
      <c r="HO365" s="34"/>
      <c r="HP365" s="34"/>
      <c r="HQ365" s="35"/>
      <c r="HR365" s="35"/>
      <c r="HS365" s="35"/>
      <c r="HT365" s="35"/>
      <c r="HU365" s="35"/>
      <c r="HV365" s="34"/>
      <c r="HW365" s="34"/>
      <c r="HX365" s="36"/>
      <c r="HY365" s="36"/>
      <c r="HZ365" s="37"/>
      <c r="IA365" s="37"/>
      <c r="IB365" s="38"/>
      <c r="IC365" s="38"/>
      <c r="ID365" s="39"/>
      <c r="IE365" s="34"/>
      <c r="IF365" s="34"/>
      <c r="IG365" s="34"/>
      <c r="IH365" s="35"/>
      <c r="II365" s="35"/>
      <c r="IJ365" s="35"/>
      <c r="IK365" s="35"/>
      <c r="IL365" s="35"/>
      <c r="IM365" s="34"/>
      <c r="IN365" s="34"/>
      <c r="IO365" s="36"/>
      <c r="IP365" s="36"/>
      <c r="IQ365" s="37"/>
      <c r="IR365" s="37"/>
      <c r="IS365" s="38"/>
      <c r="IT365" s="38"/>
      <c r="IU365" s="39"/>
      <c r="IV365" s="34"/>
      <c r="IW365" s="34"/>
      <c r="IX365" s="34"/>
      <c r="IY365" s="35"/>
      <c r="IZ365" s="35"/>
      <c r="JA365" s="35"/>
      <c r="JB365" s="35"/>
      <c r="JC365" s="35"/>
      <c r="JD365" s="34"/>
      <c r="JE365" s="34"/>
      <c r="JF365" s="36"/>
      <c r="JG365" s="36"/>
      <c r="JH365" s="37"/>
      <c r="JI365" s="37"/>
      <c r="JJ365" s="38"/>
      <c r="JK365" s="38"/>
      <c r="JL365" s="39"/>
      <c r="JM365" s="34"/>
      <c r="JN365" s="34"/>
      <c r="JO365" s="34"/>
      <c r="JP365" s="35"/>
      <c r="JQ365" s="35"/>
      <c r="JR365" s="35"/>
      <c r="JS365" s="35"/>
      <c r="JT365" s="35"/>
      <c r="JU365" s="34"/>
      <c r="JV365" s="34"/>
      <c r="JW365" s="36"/>
      <c r="JX365" s="36"/>
      <c r="JY365" s="37"/>
      <c r="JZ365" s="37"/>
      <c r="KA365" s="38"/>
      <c r="KB365" s="38"/>
      <c r="KC365" s="39"/>
      <c r="KD365" s="34"/>
      <c r="KE365" s="34"/>
      <c r="KF365" s="34"/>
      <c r="KG365" s="35"/>
      <c r="KH365" s="35"/>
      <c r="KI365" s="35"/>
      <c r="KJ365" s="35"/>
      <c r="KK365" s="35"/>
      <c r="KL365" s="34"/>
      <c r="KM365" s="34"/>
      <c r="KN365" s="36"/>
      <c r="KO365" s="36"/>
      <c r="KP365" s="37"/>
      <c r="KQ365" s="37"/>
      <c r="KR365" s="38"/>
      <c r="KS365" s="38"/>
      <c r="KT365" s="39"/>
      <c r="KU365" s="34"/>
      <c r="KV365" s="34"/>
      <c r="KW365" s="34"/>
      <c r="KX365" s="35"/>
      <c r="KY365" s="35"/>
      <c r="KZ365" s="35"/>
      <c r="LA365" s="35"/>
      <c r="LB365" s="35"/>
      <c r="LC365" s="34"/>
      <c r="LD365" s="34"/>
      <c r="LE365" s="36"/>
      <c r="LF365" s="36"/>
      <c r="LG365" s="37"/>
      <c r="LH365" s="37"/>
      <c r="LI365" s="38"/>
      <c r="LJ365" s="38"/>
      <c r="LK365" s="39"/>
      <c r="LL365" s="34"/>
      <c r="LM365" s="34"/>
      <c r="LN365" s="34"/>
      <c r="LO365" s="35"/>
      <c r="LP365" s="35"/>
      <c r="LQ365" s="35"/>
      <c r="LR365" s="35"/>
      <c r="LS365" s="35"/>
      <c r="LT365" s="34"/>
      <c r="LU365" s="34"/>
      <c r="LV365" s="36"/>
      <c r="LW365" s="36"/>
      <c r="LX365" s="37"/>
      <c r="LY365" s="37"/>
      <c r="LZ365" s="38"/>
      <c r="MA365" s="38"/>
      <c r="MB365" s="39"/>
      <c r="MC365" s="34"/>
      <c r="MD365" s="34"/>
      <c r="ME365" s="34"/>
      <c r="MF365" s="35"/>
      <c r="MG365" s="35"/>
      <c r="MH365" s="35"/>
      <c r="MI365" s="35"/>
      <c r="MJ365" s="35"/>
      <c r="MK365" s="34"/>
      <c r="ML365" s="34"/>
      <c r="MM365" s="36"/>
      <c r="MN365" s="36"/>
      <c r="MO365" s="37"/>
      <c r="MP365" s="37"/>
      <c r="MQ365" s="38"/>
      <c r="MR365" s="38"/>
      <c r="MS365" s="39"/>
      <c r="MT365" s="34"/>
      <c r="MU365" s="34"/>
      <c r="MV365" s="34"/>
      <c r="MW365" s="35"/>
      <c r="MX365" s="35"/>
      <c r="MY365" s="35"/>
      <c r="MZ365" s="35"/>
      <c r="NA365" s="35"/>
      <c r="NB365" s="34"/>
      <c r="NC365" s="34"/>
      <c r="ND365" s="36"/>
      <c r="NE365" s="36"/>
      <c r="NF365" s="37"/>
      <c r="NG365" s="37"/>
      <c r="NH365" s="38"/>
      <c r="NI365" s="38"/>
      <c r="NJ365" s="39"/>
      <c r="NK365" s="34"/>
      <c r="NL365" s="34"/>
      <c r="NM365" s="34"/>
      <c r="NN365" s="35"/>
      <c r="NO365" s="35"/>
      <c r="NP365" s="35"/>
      <c r="NQ365" s="35"/>
      <c r="NR365" s="35"/>
      <c r="NS365" s="34"/>
      <c r="NT365" s="34"/>
      <c r="NU365" s="36"/>
      <c r="NV365" s="36"/>
      <c r="NW365" s="37"/>
      <c r="NX365" s="37"/>
      <c r="NY365" s="38"/>
      <c r="NZ365" s="38"/>
      <c r="OA365" s="39"/>
      <c r="OB365" s="34"/>
      <c r="OC365" s="34"/>
      <c r="OD365" s="34"/>
      <c r="OE365" s="35"/>
      <c r="OF365" s="35"/>
      <c r="OG365" s="35"/>
      <c r="OH365" s="35"/>
      <c r="OI365" s="35"/>
      <c r="OJ365" s="34"/>
      <c r="OK365" s="34"/>
      <c r="OL365" s="36"/>
      <c r="OM365" s="36"/>
      <c r="ON365" s="37"/>
      <c r="OO365" s="37"/>
      <c r="OP365" s="38"/>
      <c r="OQ365" s="38"/>
      <c r="OR365" s="39"/>
      <c r="OS365" s="34"/>
      <c r="OT365" s="34"/>
      <c r="OU365" s="34"/>
      <c r="OV365" s="35"/>
      <c r="OW365" s="35"/>
      <c r="OX365" s="35"/>
      <c r="OY365" s="35"/>
      <c r="OZ365" s="35"/>
      <c r="PA365" s="34"/>
      <c r="PB365" s="34"/>
      <c r="PC365" s="36"/>
      <c r="PD365" s="36"/>
      <c r="PE365" s="37"/>
      <c r="PF365" s="37"/>
      <c r="PG365" s="38"/>
      <c r="PH365" s="38"/>
      <c r="PI365" s="39"/>
      <c r="PJ365" s="34"/>
      <c r="PK365" s="34"/>
      <c r="PL365" s="34"/>
      <c r="PM365" s="35"/>
      <c r="PN365" s="35"/>
      <c r="PO365" s="35"/>
      <c r="PP365" s="35"/>
      <c r="PQ365" s="35"/>
      <c r="PR365" s="34"/>
      <c r="PS365" s="34"/>
      <c r="PT365" s="36"/>
      <c r="PU365" s="36"/>
      <c r="PV365" s="37"/>
      <c r="PW365" s="37"/>
      <c r="PX365" s="38"/>
      <c r="PY365" s="38"/>
      <c r="PZ365" s="39"/>
      <c r="QA365" s="34"/>
      <c r="QB365" s="34"/>
      <c r="QC365" s="34"/>
      <c r="QD365" s="35"/>
      <c r="QE365" s="35"/>
      <c r="QF365" s="35"/>
      <c r="QG365" s="35"/>
      <c r="QH365" s="35"/>
      <c r="QI365" s="34"/>
      <c r="QJ365" s="34"/>
      <c r="QK365" s="36"/>
      <c r="QL365" s="36"/>
      <c r="QM365" s="37"/>
      <c r="QN365" s="37"/>
      <c r="QO365" s="38"/>
      <c r="QP365" s="38"/>
      <c r="QQ365" s="39"/>
      <c r="QR365" s="34"/>
      <c r="QS365" s="34"/>
      <c r="QT365" s="34"/>
      <c r="QU365" s="35"/>
      <c r="QV365" s="35"/>
      <c r="QW365" s="35"/>
      <c r="QX365" s="35"/>
      <c r="QY365" s="35"/>
      <c r="QZ365" s="34"/>
      <c r="RA365" s="34"/>
      <c r="RB365" s="36"/>
      <c r="RC365" s="36"/>
      <c r="RD365" s="37"/>
      <c r="RE365" s="37"/>
      <c r="RF365" s="38"/>
      <c r="RG365" s="38"/>
      <c r="RH365" s="39"/>
      <c r="RI365" s="34"/>
      <c r="RJ365" s="34"/>
      <c r="RK365" s="34"/>
      <c r="RL365" s="35"/>
      <c r="RM365" s="35"/>
      <c r="RN365" s="35"/>
      <c r="RO365" s="35"/>
      <c r="RP365" s="35"/>
      <c r="RQ365" s="34"/>
      <c r="RR365" s="34"/>
      <c r="RS365" s="36"/>
      <c r="RT365" s="36"/>
      <c r="RU365" s="37"/>
      <c r="RV365" s="37"/>
      <c r="RW365" s="38"/>
      <c r="RX365" s="38"/>
      <c r="RY365" s="39"/>
      <c r="RZ365" s="34"/>
      <c r="SA365" s="34"/>
      <c r="SB365" s="34"/>
      <c r="SC365" s="35"/>
      <c r="SD365" s="35"/>
      <c r="SE365" s="35"/>
      <c r="SF365" s="35"/>
      <c r="SG365" s="35"/>
      <c r="SH365" s="34"/>
      <c r="SI365" s="34"/>
      <c r="SJ365" s="36"/>
      <c r="SK365" s="36"/>
      <c r="SL365" s="37"/>
      <c r="SM365" s="37"/>
      <c r="SN365" s="38"/>
      <c r="SO365" s="38"/>
      <c r="SP365" s="39"/>
      <c r="SQ365" s="34"/>
      <c r="SR365" s="34"/>
      <c r="SS365" s="34"/>
      <c r="ST365" s="35"/>
      <c r="SU365" s="35"/>
      <c r="SV365" s="35"/>
      <c r="SW365" s="35"/>
      <c r="SX365" s="35"/>
      <c r="SY365" s="34"/>
      <c r="SZ365" s="34"/>
      <c r="TA365" s="36"/>
      <c r="TB365" s="36"/>
      <c r="TC365" s="37"/>
      <c r="TD365" s="37"/>
      <c r="TE365" s="38"/>
      <c r="TF365" s="38"/>
      <c r="TG365" s="39"/>
      <c r="TH365" s="34"/>
      <c r="TI365" s="34"/>
      <c r="TJ365" s="34"/>
      <c r="TK365" s="35"/>
      <c r="TL365" s="35"/>
      <c r="TM365" s="35"/>
      <c r="TN365" s="35"/>
      <c r="TO365" s="35"/>
      <c r="TP365" s="34"/>
      <c r="TQ365" s="34"/>
      <c r="TR365" s="36"/>
      <c r="TS365" s="36"/>
      <c r="TT365" s="37"/>
      <c r="TU365" s="37"/>
      <c r="TV365" s="38"/>
      <c r="TW365" s="38"/>
      <c r="TX365" s="39"/>
      <c r="TY365" s="34"/>
      <c r="TZ365" s="34"/>
      <c r="UA365" s="34"/>
      <c r="UB365" s="35"/>
      <c r="UC365" s="35"/>
      <c r="UD365" s="35"/>
      <c r="UE365" s="35"/>
      <c r="UF365" s="35"/>
      <c r="UG365" s="34"/>
      <c r="UH365" s="34"/>
      <c r="UI365" s="36"/>
      <c r="UJ365" s="36"/>
      <c r="UK365" s="37"/>
      <c r="UL365" s="37"/>
      <c r="UM365" s="38"/>
      <c r="UN365" s="38"/>
      <c r="UO365" s="39"/>
      <c r="UP365" s="34"/>
      <c r="UQ365" s="34"/>
      <c r="UR365" s="34"/>
      <c r="US365" s="35"/>
      <c r="UT365" s="35"/>
      <c r="UU365" s="35"/>
      <c r="UV365" s="35"/>
      <c r="UW365" s="35"/>
      <c r="UX365" s="34"/>
      <c r="UY365" s="34"/>
      <c r="UZ365" s="36"/>
      <c r="VA365" s="36"/>
      <c r="VB365" s="37"/>
      <c r="VC365" s="37"/>
      <c r="VD365" s="38"/>
      <c r="VE365" s="38"/>
      <c r="VF365" s="39"/>
      <c r="VG365" s="34"/>
      <c r="VH365" s="34"/>
      <c r="VI365" s="34"/>
      <c r="VJ365" s="35"/>
      <c r="VK365" s="35"/>
      <c r="VL365" s="35"/>
      <c r="VM365" s="35"/>
      <c r="VN365" s="35"/>
      <c r="VO365" s="34"/>
      <c r="VP365" s="34"/>
      <c r="VQ365" s="36"/>
      <c r="VR365" s="36"/>
      <c r="VS365" s="37"/>
      <c r="VT365" s="37"/>
      <c r="VU365" s="38"/>
      <c r="VV365" s="38"/>
      <c r="VW365" s="39"/>
      <c r="VX365" s="34"/>
      <c r="VY365" s="34"/>
      <c r="VZ365" s="34"/>
      <c r="WA365" s="35"/>
      <c r="WB365" s="35"/>
      <c r="WC365" s="35"/>
      <c r="WD365" s="35"/>
      <c r="WE365" s="35"/>
      <c r="WF365" s="34"/>
      <c r="WG365" s="34"/>
      <c r="WH365" s="36"/>
      <c r="WI365" s="36"/>
      <c r="WJ365" s="37"/>
      <c r="WK365" s="37"/>
      <c r="WL365" s="38"/>
      <c r="WM365" s="38"/>
      <c r="WN365" s="39"/>
      <c r="WO365" s="34"/>
      <c r="WP365" s="34"/>
      <c r="WQ365" s="34"/>
      <c r="WR365" s="35"/>
      <c r="WS365" s="35"/>
      <c r="WT365" s="35"/>
      <c r="WU365" s="35"/>
      <c r="WV365" s="35"/>
      <c r="WW365" s="34"/>
      <c r="WX365" s="34"/>
      <c r="WY365" s="36"/>
      <c r="WZ365" s="36"/>
      <c r="XA365" s="37"/>
      <c r="XB365" s="37"/>
      <c r="XC365" s="38"/>
      <c r="XD365" s="38"/>
      <c r="XE365" s="39"/>
      <c r="XF365" s="34"/>
      <c r="XG365" s="34"/>
      <c r="XH365" s="34"/>
      <c r="XI365" s="35"/>
      <c r="XJ365" s="35"/>
      <c r="XK365" s="35"/>
      <c r="XL365" s="35"/>
      <c r="XM365" s="35"/>
      <c r="XN365" s="34"/>
      <c r="XO365" s="34"/>
      <c r="XP365" s="36"/>
      <c r="XQ365" s="36"/>
      <c r="XR365" s="37"/>
      <c r="XS365" s="37"/>
      <c r="XT365" s="38"/>
      <c r="XU365" s="38"/>
      <c r="XV365" s="39"/>
      <c r="XW365" s="34"/>
      <c r="XX365" s="34"/>
      <c r="XY365" s="34"/>
      <c r="XZ365" s="35"/>
      <c r="YA365" s="35"/>
      <c r="YB365" s="35"/>
      <c r="YC365" s="35"/>
      <c r="YD365" s="35"/>
      <c r="YE365" s="34"/>
      <c r="YF365" s="34"/>
      <c r="YG365" s="36"/>
      <c r="YH365" s="36"/>
      <c r="YI365" s="37"/>
      <c r="YJ365" s="37"/>
      <c r="YK365" s="38"/>
      <c r="YL365" s="38"/>
      <c r="YM365" s="39"/>
      <c r="YN365" s="34"/>
      <c r="YO365" s="34"/>
      <c r="YP365" s="34"/>
      <c r="YQ365" s="35"/>
      <c r="YR365" s="35"/>
      <c r="YS365" s="35"/>
      <c r="YT365" s="35"/>
      <c r="YU365" s="35"/>
      <c r="YV365" s="34"/>
      <c r="YW365" s="34"/>
      <c r="YX365" s="36"/>
      <c r="YY365" s="36"/>
      <c r="YZ365" s="37"/>
      <c r="ZA365" s="37"/>
      <c r="ZB365" s="38"/>
      <c r="ZC365" s="38"/>
      <c r="ZD365" s="39"/>
      <c r="ZE365" s="34"/>
      <c r="ZF365" s="34"/>
      <c r="ZG365" s="34"/>
      <c r="ZH365" s="35"/>
      <c r="ZI365" s="35"/>
      <c r="ZJ365" s="35"/>
      <c r="ZK365" s="35"/>
      <c r="ZL365" s="35"/>
      <c r="ZM365" s="34"/>
      <c r="ZN365" s="34"/>
      <c r="ZO365" s="36"/>
      <c r="ZP365" s="36"/>
      <c r="ZQ365" s="37"/>
      <c r="ZR365" s="37"/>
      <c r="ZS365" s="38"/>
      <c r="ZT365" s="38"/>
      <c r="ZU365" s="39"/>
      <c r="ZV365" s="34"/>
      <c r="ZW365" s="34"/>
      <c r="ZX365" s="34"/>
      <c r="ZY365" s="35"/>
      <c r="ZZ365" s="35"/>
      <c r="AAA365" s="35"/>
      <c r="AAB365" s="35"/>
      <c r="AAC365" s="35"/>
      <c r="AAD365" s="34"/>
      <c r="AAE365" s="34"/>
      <c r="AAF365" s="36"/>
      <c r="AAG365" s="36"/>
      <c r="AAH365" s="37"/>
      <c r="AAI365" s="37"/>
      <c r="AAJ365" s="38"/>
      <c r="AAK365" s="38"/>
      <c r="AAL365" s="39"/>
      <c r="AAM365" s="34"/>
      <c r="AAN365" s="34"/>
      <c r="AAO365" s="34"/>
      <c r="AAP365" s="35"/>
      <c r="AAQ365" s="35"/>
      <c r="AAR365" s="35"/>
      <c r="AAS365" s="35"/>
      <c r="AAT365" s="35"/>
      <c r="AAU365" s="34"/>
      <c r="AAV365" s="34"/>
      <c r="AAW365" s="36"/>
      <c r="AAX365" s="36"/>
      <c r="AAY365" s="37"/>
      <c r="AAZ365" s="37"/>
      <c r="ABA365" s="38"/>
      <c r="ABB365" s="38"/>
      <c r="ABC365" s="39"/>
      <c r="ABD365" s="34"/>
      <c r="ABE365" s="34"/>
      <c r="ABF365" s="34"/>
      <c r="ABG365" s="35"/>
      <c r="ABH365" s="35"/>
      <c r="ABI365" s="35"/>
      <c r="ABJ365" s="35"/>
      <c r="ABK365" s="35"/>
      <c r="ABL365" s="34"/>
      <c r="ABM365" s="34"/>
      <c r="ABN365" s="36"/>
      <c r="ABO365" s="36"/>
      <c r="ABP365" s="37"/>
      <c r="ABQ365" s="37"/>
      <c r="ABR365" s="38"/>
      <c r="ABS365" s="38"/>
      <c r="ABT365" s="39"/>
      <c r="ABU365" s="34"/>
      <c r="ABV365" s="34"/>
      <c r="ABW365" s="34"/>
      <c r="ABX365" s="35"/>
      <c r="ABY365" s="35"/>
      <c r="ABZ365" s="35"/>
      <c r="ACA365" s="35"/>
      <c r="ACB365" s="35"/>
      <c r="ACC365" s="34"/>
      <c r="ACD365" s="34"/>
      <c r="ACE365" s="36"/>
      <c r="ACF365" s="36"/>
      <c r="ACG365" s="37"/>
      <c r="ACH365" s="37"/>
      <c r="ACI365" s="38"/>
      <c r="ACJ365" s="38"/>
      <c r="ACK365" s="39"/>
      <c r="ACL365" s="34"/>
      <c r="ACM365" s="34"/>
      <c r="ACN365" s="34"/>
      <c r="ACO365" s="35"/>
      <c r="ACP365" s="35"/>
      <c r="ACQ365" s="35"/>
      <c r="ACR365" s="35"/>
      <c r="ACS365" s="35"/>
      <c r="ACT365" s="34"/>
      <c r="ACU365" s="34"/>
      <c r="ACV365" s="36"/>
      <c r="ACW365" s="36"/>
      <c r="ACX365" s="37"/>
      <c r="ACY365" s="37"/>
      <c r="ACZ365" s="38"/>
      <c r="ADA365" s="38"/>
      <c r="ADB365" s="39"/>
      <c r="ADC365" s="34"/>
      <c r="ADD365" s="34"/>
      <c r="ADE365" s="34"/>
      <c r="ADF365" s="35"/>
      <c r="ADG365" s="35"/>
      <c r="ADH365" s="35"/>
      <c r="ADI365" s="35"/>
      <c r="ADJ365" s="35"/>
      <c r="ADK365" s="34"/>
      <c r="ADL365" s="34"/>
      <c r="ADM365" s="36"/>
      <c r="ADN365" s="36"/>
      <c r="ADO365" s="37"/>
      <c r="ADP365" s="37"/>
      <c r="ADQ365" s="38"/>
      <c r="ADR365" s="38"/>
      <c r="ADS365" s="39"/>
      <c r="ADT365" s="34"/>
      <c r="ADU365" s="34"/>
      <c r="ADV365" s="34"/>
      <c r="ADW365" s="35"/>
      <c r="ADX365" s="35"/>
      <c r="ADY365" s="35"/>
      <c r="ADZ365" s="35"/>
      <c r="AEA365" s="35"/>
      <c r="AEB365" s="34"/>
      <c r="AEC365" s="34"/>
      <c r="AED365" s="36"/>
      <c r="AEE365" s="36"/>
      <c r="AEF365" s="37"/>
      <c r="AEG365" s="37"/>
      <c r="AEH365" s="38"/>
      <c r="AEI365" s="38"/>
      <c r="AEJ365" s="39"/>
      <c r="AEK365" s="34"/>
      <c r="AEL365" s="34"/>
      <c r="AEM365" s="34"/>
      <c r="AEN365" s="35"/>
      <c r="AEO365" s="35"/>
      <c r="AEP365" s="35"/>
      <c r="AEQ365" s="35"/>
      <c r="AER365" s="35"/>
      <c r="AES365" s="34"/>
      <c r="AET365" s="34"/>
      <c r="AEU365" s="36"/>
      <c r="AEV365" s="36"/>
      <c r="AEW365" s="37"/>
      <c r="AEX365" s="37"/>
      <c r="AEY365" s="38"/>
      <c r="AEZ365" s="38"/>
      <c r="AFA365" s="39"/>
      <c r="AFB365" s="34"/>
      <c r="AFC365" s="34"/>
      <c r="AFD365" s="34"/>
      <c r="AFE365" s="35"/>
      <c r="AFF365" s="35"/>
      <c r="AFG365" s="35"/>
      <c r="AFH365" s="35"/>
      <c r="AFI365" s="35"/>
      <c r="AFJ365" s="34"/>
      <c r="AFK365" s="34"/>
      <c r="AFL365" s="36"/>
      <c r="AFM365" s="36"/>
      <c r="AFN365" s="37"/>
      <c r="AFO365" s="37"/>
      <c r="AFP365" s="38"/>
      <c r="AFQ365" s="38"/>
      <c r="AFR365" s="39"/>
      <c r="AFS365" s="34"/>
      <c r="AFT365" s="34"/>
      <c r="AFU365" s="34"/>
      <c r="AFV365" s="35"/>
      <c r="AFW365" s="35"/>
      <c r="AFX365" s="35"/>
      <c r="AFY365" s="35"/>
      <c r="AFZ365" s="35"/>
      <c r="AGA365" s="34"/>
      <c r="AGB365" s="34"/>
      <c r="AGC365" s="36"/>
      <c r="AGD365" s="36"/>
      <c r="AGE365" s="37"/>
      <c r="AGF365" s="37"/>
      <c r="AGG365" s="38"/>
      <c r="AGH365" s="38"/>
      <c r="AGI365" s="39"/>
      <c r="AGJ365" s="34"/>
      <c r="AGK365" s="34"/>
      <c r="AGL365" s="34"/>
      <c r="AGM365" s="35"/>
      <c r="AGN365" s="35"/>
      <c r="AGO365" s="35"/>
      <c r="AGP365" s="35"/>
      <c r="AGQ365" s="35"/>
      <c r="AGR365" s="34"/>
      <c r="AGS365" s="34"/>
      <c r="AGT365" s="36"/>
      <c r="AGU365" s="36"/>
      <c r="AGV365" s="37"/>
      <c r="AGW365" s="37"/>
      <c r="AGX365" s="38"/>
      <c r="AGY365" s="38"/>
      <c r="AGZ365" s="39"/>
      <c r="AHA365" s="34"/>
      <c r="AHB365" s="34"/>
      <c r="AHC365" s="34"/>
      <c r="AHD365" s="35"/>
      <c r="AHE365" s="35"/>
      <c r="AHF365" s="35"/>
      <c r="AHG365" s="35"/>
      <c r="AHH365" s="35"/>
      <c r="AHI365" s="34"/>
      <c r="AHJ365" s="34"/>
      <c r="AHK365" s="36"/>
      <c r="AHL365" s="36"/>
      <c r="AHM365" s="37"/>
      <c r="AHN365" s="37"/>
      <c r="AHO365" s="38"/>
      <c r="AHP365" s="38"/>
      <c r="AHQ365" s="39"/>
      <c r="AHR365" s="34"/>
      <c r="AHS365" s="34"/>
      <c r="AHT365" s="34"/>
      <c r="AHU365" s="35"/>
      <c r="AHV365" s="35"/>
      <c r="AHW365" s="35"/>
      <c r="AHX365" s="35"/>
      <c r="AHY365" s="35"/>
      <c r="AHZ365" s="34"/>
      <c r="AIA365" s="34"/>
      <c r="AIB365" s="36"/>
      <c r="AIC365" s="36"/>
      <c r="AID365" s="37"/>
      <c r="AIE365" s="37"/>
      <c r="AIF365" s="38"/>
      <c r="AIG365" s="38"/>
      <c r="AIH365" s="39"/>
      <c r="AII365" s="34"/>
      <c r="AIJ365" s="34"/>
      <c r="AIK365" s="34"/>
      <c r="AIL365" s="35"/>
      <c r="AIM365" s="35"/>
      <c r="AIN365" s="35"/>
      <c r="AIO365" s="35"/>
      <c r="AIP365" s="35"/>
      <c r="AIQ365" s="34"/>
      <c r="AIR365" s="34"/>
      <c r="AIS365" s="36"/>
      <c r="AIT365" s="36"/>
      <c r="AIU365" s="37"/>
      <c r="AIV365" s="37"/>
      <c r="AIW365" s="38"/>
      <c r="AIX365" s="38"/>
      <c r="AIY365" s="39"/>
      <c r="AIZ365" s="34"/>
      <c r="AJA365" s="34"/>
      <c r="AJB365" s="34"/>
      <c r="AJC365" s="35"/>
      <c r="AJD365" s="35"/>
      <c r="AJE365" s="35"/>
      <c r="AJF365" s="35"/>
      <c r="AJG365" s="35"/>
      <c r="AJH365" s="34"/>
      <c r="AJI365" s="34"/>
      <c r="AJJ365" s="36"/>
      <c r="AJK365" s="36"/>
      <c r="AJL365" s="37"/>
      <c r="AJM365" s="37"/>
      <c r="AJN365" s="38"/>
      <c r="AJO365" s="38"/>
      <c r="AJP365" s="39"/>
      <c r="AJQ365" s="34"/>
      <c r="AJR365" s="34"/>
      <c r="AJS365" s="34"/>
      <c r="AJT365" s="35"/>
      <c r="AJU365" s="35"/>
      <c r="AJV365" s="35"/>
      <c r="AJW365" s="35"/>
      <c r="AJX365" s="35"/>
      <c r="AJY365" s="34"/>
      <c r="AJZ365" s="34"/>
      <c r="AKA365" s="36"/>
      <c r="AKB365" s="36"/>
      <c r="AKC365" s="37"/>
      <c r="AKD365" s="37"/>
      <c r="AKE365" s="38"/>
      <c r="AKF365" s="38"/>
      <c r="AKG365" s="39"/>
      <c r="AKH365" s="34"/>
      <c r="AKI365" s="34"/>
      <c r="AKJ365" s="34"/>
      <c r="AKK365" s="35"/>
      <c r="AKL365" s="35"/>
      <c r="AKM365" s="35"/>
      <c r="AKN365" s="35"/>
      <c r="AKO365" s="35"/>
      <c r="AKP365" s="34"/>
      <c r="AKQ365" s="34"/>
      <c r="AKR365" s="36"/>
      <c r="AKS365" s="36"/>
      <c r="AKT365" s="37"/>
      <c r="AKU365" s="37"/>
      <c r="AKV365" s="38"/>
      <c r="AKW365" s="38"/>
      <c r="AKX365" s="39"/>
      <c r="AKY365" s="34"/>
      <c r="AKZ365" s="34"/>
      <c r="ALA365" s="34"/>
      <c r="ALB365" s="35"/>
      <c r="ALC365" s="35"/>
      <c r="ALD365" s="35"/>
      <c r="ALE365" s="35"/>
      <c r="ALF365" s="35"/>
      <c r="ALG365" s="34"/>
      <c r="ALH365" s="34"/>
      <c r="ALI365" s="36"/>
      <c r="ALJ365" s="36"/>
      <c r="ALK365" s="37"/>
      <c r="ALL365" s="37"/>
      <c r="ALM365" s="38"/>
      <c r="ALN365" s="38"/>
      <c r="ALO365" s="39"/>
      <c r="ALP365" s="34"/>
      <c r="ALQ365" s="34"/>
      <c r="ALR365" s="34"/>
      <c r="ALS365" s="35"/>
      <c r="ALT365" s="35"/>
      <c r="ALU365" s="35"/>
      <c r="ALV365" s="35"/>
      <c r="ALW365" s="35"/>
      <c r="ALX365" s="34"/>
      <c r="ALY365" s="34"/>
      <c r="ALZ365" s="36"/>
      <c r="AMA365" s="36"/>
      <c r="AMB365" s="37"/>
      <c r="AMC365" s="37"/>
      <c r="AMD365" s="38"/>
      <c r="AME365" s="38"/>
      <c r="AMF365" s="39"/>
      <c r="AMG365" s="34"/>
      <c r="AMH365" s="34"/>
      <c r="AMI365" s="34"/>
      <c r="AMJ365" s="35"/>
      <c r="AMK365" s="35"/>
      <c r="AML365" s="35"/>
      <c r="AMM365" s="35"/>
      <c r="AMN365" s="35"/>
      <c r="AMO365" s="34"/>
      <c r="AMP365" s="34"/>
      <c r="AMQ365" s="36"/>
      <c r="AMR365" s="36"/>
      <c r="AMS365" s="37"/>
      <c r="AMT365" s="37"/>
      <c r="AMU365" s="38"/>
      <c r="AMV365" s="38"/>
      <c r="AMW365" s="39"/>
      <c r="AMX365" s="34"/>
      <c r="AMY365" s="34"/>
      <c r="AMZ365" s="34"/>
      <c r="ANA365" s="35"/>
      <c r="ANB365" s="35"/>
      <c r="ANC365" s="35"/>
      <c r="AND365" s="35"/>
      <c r="ANE365" s="35"/>
      <c r="ANF365" s="34"/>
      <c r="ANG365" s="34"/>
      <c r="ANH365" s="36"/>
      <c r="ANI365" s="36"/>
      <c r="ANJ365" s="37"/>
      <c r="ANK365" s="37"/>
      <c r="ANL365" s="38"/>
      <c r="ANM365" s="38"/>
      <c r="ANN365" s="39"/>
      <c r="ANO365" s="34"/>
      <c r="ANP365" s="34"/>
      <c r="ANQ365" s="34"/>
      <c r="ANR365" s="35"/>
      <c r="ANS365" s="35"/>
      <c r="ANT365" s="35"/>
      <c r="ANU365" s="35"/>
      <c r="ANV365" s="35"/>
      <c r="ANW365" s="34"/>
      <c r="ANX365" s="34"/>
      <c r="ANY365" s="36"/>
      <c r="ANZ365" s="36"/>
      <c r="AOA365" s="37"/>
      <c r="AOB365" s="37"/>
      <c r="AOC365" s="38"/>
      <c r="AOD365" s="38"/>
      <c r="AOE365" s="39"/>
      <c r="AOF365" s="34"/>
      <c r="AOG365" s="34"/>
      <c r="AOH365" s="34"/>
      <c r="AOI365" s="35"/>
      <c r="AOJ365" s="35"/>
      <c r="AOK365" s="35"/>
      <c r="AOL365" s="35"/>
      <c r="AOM365" s="35"/>
      <c r="AON365" s="34"/>
      <c r="AOO365" s="34"/>
      <c r="AOP365" s="36"/>
      <c r="AOQ365" s="36"/>
      <c r="AOR365" s="37"/>
      <c r="AOS365" s="37"/>
      <c r="AOT365" s="38"/>
      <c r="AOU365" s="38"/>
      <c r="AOV365" s="39"/>
      <c r="AOW365" s="34"/>
      <c r="AOX365" s="34"/>
      <c r="AOY365" s="34"/>
      <c r="AOZ365" s="35"/>
      <c r="APA365" s="35"/>
      <c r="APB365" s="35"/>
      <c r="APC365" s="35"/>
      <c r="APD365" s="35"/>
      <c r="APE365" s="34"/>
      <c r="APF365" s="34"/>
      <c r="APG365" s="36"/>
      <c r="APH365" s="36"/>
      <c r="API365" s="37"/>
      <c r="APJ365" s="37"/>
      <c r="APK365" s="38"/>
      <c r="APL365" s="38"/>
      <c r="APM365" s="39"/>
      <c r="APN365" s="34"/>
      <c r="APO365" s="34"/>
      <c r="APP365" s="34"/>
      <c r="APQ365" s="35"/>
      <c r="APR365" s="35"/>
      <c r="APS365" s="35"/>
      <c r="APT365" s="35"/>
      <c r="APU365" s="35"/>
      <c r="APV365" s="34"/>
      <c r="APW365" s="34"/>
      <c r="APX365" s="36"/>
      <c r="APY365" s="36"/>
      <c r="APZ365" s="37"/>
      <c r="AQA365" s="37"/>
      <c r="AQB365" s="38"/>
      <c r="AQC365" s="38"/>
      <c r="AQD365" s="39"/>
      <c r="AQE365" s="34"/>
      <c r="AQF365" s="34"/>
      <c r="AQG365" s="34"/>
      <c r="AQH365" s="35"/>
      <c r="AQI365" s="35"/>
      <c r="AQJ365" s="35"/>
      <c r="AQK365" s="35"/>
      <c r="AQL365" s="35"/>
      <c r="AQM365" s="34"/>
      <c r="AQN365" s="34"/>
      <c r="AQO365" s="36"/>
      <c r="AQP365" s="36"/>
      <c r="AQQ365" s="37"/>
      <c r="AQR365" s="37"/>
      <c r="AQS365" s="38"/>
      <c r="AQT365" s="38"/>
      <c r="AQU365" s="39"/>
      <c r="AQV365" s="34"/>
      <c r="AQW365" s="34"/>
      <c r="AQX365" s="34"/>
      <c r="AQY365" s="35"/>
      <c r="AQZ365" s="35"/>
      <c r="ARA365" s="35"/>
      <c r="ARB365" s="35"/>
      <c r="ARC365" s="35"/>
      <c r="ARD365" s="34"/>
      <c r="ARE365" s="34"/>
      <c r="ARF365" s="36"/>
      <c r="ARG365" s="36"/>
      <c r="ARH365" s="37"/>
      <c r="ARI365" s="37"/>
      <c r="ARJ365" s="38"/>
      <c r="ARK365" s="38"/>
      <c r="ARL365" s="39"/>
      <c r="ARM365" s="34"/>
      <c r="ARN365" s="34"/>
      <c r="ARO365" s="34"/>
      <c r="ARP365" s="35"/>
      <c r="ARQ365" s="35"/>
      <c r="ARR365" s="35"/>
      <c r="ARS365" s="35"/>
      <c r="ART365" s="35"/>
      <c r="ARU365" s="34"/>
      <c r="ARV365" s="34"/>
      <c r="ARW365" s="36"/>
      <c r="ARX365" s="36"/>
      <c r="ARY365" s="37"/>
      <c r="ARZ365" s="37"/>
      <c r="ASA365" s="38"/>
      <c r="ASB365" s="38"/>
      <c r="ASC365" s="39"/>
      <c r="ASD365" s="34"/>
      <c r="ASE365" s="34"/>
      <c r="ASF365" s="34"/>
      <c r="ASG365" s="35"/>
      <c r="ASH365" s="35"/>
      <c r="ASI365" s="35"/>
      <c r="ASJ365" s="35"/>
      <c r="ASK365" s="35"/>
      <c r="ASL365" s="34"/>
      <c r="ASM365" s="34"/>
      <c r="ASN365" s="36"/>
      <c r="ASO365" s="36"/>
      <c r="ASP365" s="37"/>
      <c r="ASQ365" s="37"/>
      <c r="ASR365" s="38"/>
      <c r="ASS365" s="38"/>
      <c r="AST365" s="39"/>
      <c r="ASU365" s="34"/>
      <c r="ASV365" s="34"/>
      <c r="ASW365" s="34"/>
      <c r="ASX365" s="35"/>
      <c r="ASY365" s="35"/>
      <c r="ASZ365" s="35"/>
      <c r="ATA365" s="35"/>
      <c r="ATB365" s="35"/>
      <c r="ATC365" s="34"/>
      <c r="ATD365" s="34"/>
      <c r="ATE365" s="36"/>
      <c r="ATF365" s="36"/>
      <c r="ATG365" s="37"/>
      <c r="ATH365" s="37"/>
      <c r="ATI365" s="38"/>
      <c r="ATJ365" s="38"/>
      <c r="ATK365" s="39"/>
      <c r="ATL365" s="34"/>
      <c r="ATM365" s="34"/>
      <c r="ATN365" s="34"/>
      <c r="ATO365" s="35"/>
      <c r="ATP365" s="35"/>
      <c r="ATQ365" s="35"/>
      <c r="ATR365" s="35"/>
      <c r="ATS365" s="35"/>
      <c r="ATT365" s="34"/>
      <c r="ATU365" s="34"/>
      <c r="ATV365" s="36"/>
      <c r="ATW365" s="36"/>
      <c r="ATX365" s="37"/>
      <c r="ATY365" s="37"/>
      <c r="ATZ365" s="38"/>
      <c r="AUA365" s="38"/>
      <c r="AUB365" s="39"/>
      <c r="AUC365" s="34"/>
      <c r="AUD365" s="34"/>
      <c r="AUE365" s="34"/>
      <c r="AUF365" s="35"/>
      <c r="AUG365" s="35"/>
      <c r="AUH365" s="35"/>
      <c r="AUI365" s="35"/>
      <c r="AUJ365" s="35"/>
      <c r="AUK365" s="34"/>
      <c r="AUL365" s="34"/>
      <c r="AUM365" s="36"/>
      <c r="AUN365" s="36"/>
      <c r="AUO365" s="37"/>
      <c r="AUP365" s="37"/>
      <c r="AUQ365" s="38"/>
      <c r="AUR365" s="38"/>
      <c r="AUS365" s="39"/>
      <c r="AUT365" s="34"/>
      <c r="AUU365" s="34"/>
      <c r="AUV365" s="34"/>
      <c r="AUW365" s="35"/>
      <c r="AUX365" s="35"/>
      <c r="AUY365" s="35"/>
      <c r="AUZ365" s="35"/>
      <c r="AVA365" s="35"/>
      <c r="AVB365" s="34"/>
      <c r="AVC365" s="34"/>
      <c r="AVD365" s="36"/>
      <c r="AVE365" s="36"/>
      <c r="AVF365" s="37"/>
      <c r="AVG365" s="37"/>
      <c r="AVH365" s="38"/>
      <c r="AVI365" s="38"/>
      <c r="AVJ365" s="39"/>
      <c r="AVK365" s="34"/>
      <c r="AVL365" s="34"/>
      <c r="AVM365" s="34"/>
      <c r="AVN365" s="35"/>
      <c r="AVO365" s="35"/>
      <c r="AVP365" s="35"/>
      <c r="AVQ365" s="35"/>
      <c r="AVR365" s="35"/>
      <c r="AVS365" s="34"/>
      <c r="AVT365" s="34"/>
      <c r="AVU365" s="36"/>
      <c r="AVV365" s="36"/>
      <c r="AVW365" s="37"/>
      <c r="AVX365" s="37"/>
      <c r="AVY365" s="38"/>
      <c r="AVZ365" s="38"/>
      <c r="AWA365" s="39"/>
      <c r="AWB365" s="34"/>
      <c r="AWC365" s="34"/>
      <c r="AWD365" s="34"/>
      <c r="AWE365" s="35"/>
      <c r="AWF365" s="35"/>
      <c r="AWG365" s="35"/>
      <c r="AWH365" s="35"/>
      <c r="AWI365" s="35"/>
      <c r="AWJ365" s="34"/>
      <c r="AWK365" s="34"/>
      <c r="AWL365" s="36"/>
      <c r="AWM365" s="36"/>
      <c r="AWN365" s="37"/>
      <c r="AWO365" s="37"/>
      <c r="AWP365" s="38"/>
      <c r="AWQ365" s="38"/>
      <c r="AWR365" s="39"/>
      <c r="AWS365" s="34"/>
      <c r="AWT365" s="34"/>
      <c r="AWU365" s="34"/>
      <c r="AWV365" s="35"/>
      <c r="AWW365" s="35"/>
      <c r="AWX365" s="35"/>
      <c r="AWY365" s="35"/>
      <c r="AWZ365" s="35"/>
      <c r="AXA365" s="34"/>
      <c r="AXB365" s="34"/>
      <c r="AXC365" s="36"/>
      <c r="AXD365" s="36"/>
      <c r="AXE365" s="37"/>
      <c r="AXF365" s="37"/>
      <c r="AXG365" s="38"/>
      <c r="AXH365" s="38"/>
      <c r="AXI365" s="39"/>
      <c r="AXJ365" s="34"/>
      <c r="AXK365" s="34"/>
      <c r="AXL365" s="34"/>
      <c r="AXM365" s="35"/>
      <c r="AXN365" s="35"/>
      <c r="AXO365" s="35"/>
      <c r="AXP365" s="35"/>
      <c r="AXQ365" s="35"/>
      <c r="AXR365" s="34"/>
      <c r="AXS365" s="34"/>
      <c r="AXT365" s="36"/>
      <c r="AXU365" s="36"/>
      <c r="AXV365" s="37"/>
      <c r="AXW365" s="37"/>
      <c r="AXX365" s="38"/>
      <c r="AXY365" s="38"/>
      <c r="AXZ365" s="39"/>
      <c r="AYA365" s="34"/>
      <c r="AYB365" s="34"/>
      <c r="AYC365" s="34"/>
      <c r="AYD365" s="35"/>
      <c r="AYE365" s="35"/>
      <c r="AYF365" s="35"/>
      <c r="AYG365" s="35"/>
      <c r="AYH365" s="35"/>
      <c r="AYI365" s="34"/>
      <c r="AYJ365" s="34"/>
      <c r="AYK365" s="36"/>
      <c r="AYL365" s="36"/>
      <c r="AYM365" s="37"/>
      <c r="AYN365" s="37"/>
      <c r="AYO365" s="38"/>
      <c r="AYP365" s="38"/>
      <c r="AYQ365" s="39"/>
      <c r="AYR365" s="34"/>
      <c r="AYS365" s="34"/>
      <c r="AYT365" s="34"/>
      <c r="AYU365" s="35"/>
      <c r="AYV365" s="35"/>
      <c r="AYW365" s="35"/>
      <c r="AYX365" s="35"/>
      <c r="AYY365" s="35"/>
      <c r="AYZ365" s="34"/>
      <c r="AZA365" s="34"/>
      <c r="AZB365" s="36"/>
      <c r="AZC365" s="36"/>
      <c r="AZD365" s="37"/>
      <c r="AZE365" s="37"/>
      <c r="AZF365" s="38"/>
      <c r="AZG365" s="38"/>
      <c r="AZH365" s="39"/>
      <c r="AZI365" s="34"/>
      <c r="AZJ365" s="34"/>
      <c r="AZK365" s="34"/>
      <c r="AZL365" s="35"/>
      <c r="AZM365" s="35"/>
      <c r="AZN365" s="35"/>
      <c r="AZO365" s="35"/>
      <c r="AZP365" s="35"/>
      <c r="AZQ365" s="34"/>
      <c r="AZR365" s="34"/>
      <c r="AZS365" s="36"/>
      <c r="AZT365" s="36"/>
      <c r="AZU365" s="37"/>
      <c r="AZV365" s="37"/>
      <c r="AZW365" s="38"/>
      <c r="AZX365" s="38"/>
      <c r="AZY365" s="39"/>
      <c r="AZZ365" s="34"/>
      <c r="BAA365" s="34"/>
      <c r="BAB365" s="34"/>
      <c r="BAC365" s="35"/>
      <c r="BAD365" s="35"/>
      <c r="BAE365" s="35"/>
      <c r="BAF365" s="35"/>
      <c r="BAG365" s="35"/>
      <c r="BAH365" s="34"/>
      <c r="BAI365" s="34"/>
      <c r="BAJ365" s="36"/>
      <c r="BAK365" s="36"/>
      <c r="BAL365" s="37"/>
      <c r="BAM365" s="37"/>
      <c r="BAN365" s="38"/>
      <c r="BAO365" s="38"/>
      <c r="BAP365" s="39"/>
      <c r="BAQ365" s="34"/>
      <c r="BAR365" s="34"/>
      <c r="BAS365" s="34"/>
      <c r="BAT365" s="35"/>
      <c r="BAU365" s="35"/>
      <c r="BAV365" s="35"/>
      <c r="BAW365" s="35"/>
      <c r="BAX365" s="35"/>
      <c r="BAY365" s="34"/>
      <c r="BAZ365" s="34"/>
      <c r="BBA365" s="36"/>
      <c r="BBB365" s="36"/>
      <c r="BBC365" s="37"/>
      <c r="BBD365" s="37"/>
      <c r="BBE365" s="38"/>
      <c r="BBF365" s="38"/>
      <c r="BBG365" s="39"/>
      <c r="BBH365" s="34"/>
      <c r="BBI365" s="34"/>
      <c r="BBJ365" s="34"/>
      <c r="BBK365" s="35"/>
      <c r="BBL365" s="35"/>
      <c r="BBM365" s="35"/>
      <c r="BBN365" s="35"/>
      <c r="BBO365" s="35"/>
      <c r="BBP365" s="34"/>
      <c r="BBQ365" s="34"/>
      <c r="BBR365" s="36"/>
      <c r="BBS365" s="36"/>
      <c r="BBT365" s="37"/>
      <c r="BBU365" s="37"/>
      <c r="BBV365" s="38"/>
      <c r="BBW365" s="38"/>
      <c r="BBX365" s="39"/>
      <c r="BBY365" s="34"/>
      <c r="BBZ365" s="34"/>
      <c r="BCA365" s="34"/>
      <c r="BCB365" s="35"/>
      <c r="BCC365" s="35"/>
      <c r="BCD365" s="35"/>
      <c r="BCE365" s="35"/>
      <c r="BCF365" s="35"/>
      <c r="BCG365" s="34"/>
      <c r="BCH365" s="34"/>
      <c r="BCI365" s="36"/>
      <c r="BCJ365" s="36"/>
      <c r="BCK365" s="37"/>
      <c r="BCL365" s="37"/>
      <c r="BCM365" s="38"/>
      <c r="BCN365" s="38"/>
      <c r="BCO365" s="39"/>
      <c r="BCP365" s="34"/>
      <c r="BCQ365" s="34"/>
      <c r="BCR365" s="34"/>
      <c r="BCS365" s="35"/>
      <c r="BCT365" s="35"/>
      <c r="BCU365" s="35"/>
      <c r="BCV365" s="35"/>
      <c r="BCW365" s="35"/>
      <c r="BCX365" s="34"/>
      <c r="BCY365" s="34"/>
      <c r="BCZ365" s="36"/>
      <c r="BDA365" s="36"/>
      <c r="BDB365" s="37"/>
      <c r="BDC365" s="37"/>
      <c r="BDD365" s="38"/>
      <c r="BDE365" s="38"/>
      <c r="BDF365" s="39"/>
      <c r="BDG365" s="34"/>
      <c r="BDH365" s="34"/>
      <c r="BDI365" s="34"/>
      <c r="BDJ365" s="35"/>
      <c r="BDK365" s="35"/>
      <c r="BDL365" s="35"/>
      <c r="BDM365" s="35"/>
      <c r="BDN365" s="35"/>
      <c r="BDO365" s="34"/>
      <c r="BDP365" s="34"/>
      <c r="BDQ365" s="36"/>
      <c r="BDR365" s="36"/>
      <c r="BDS365" s="37"/>
      <c r="BDT365" s="37"/>
      <c r="BDU365" s="38"/>
      <c r="BDV365" s="38"/>
      <c r="BDW365" s="39"/>
      <c r="BDX365" s="34"/>
      <c r="BDY365" s="34"/>
      <c r="BDZ365" s="34"/>
      <c r="BEA365" s="35"/>
      <c r="BEB365" s="35"/>
      <c r="BEC365" s="35"/>
      <c r="BED365" s="35"/>
      <c r="BEE365" s="35"/>
      <c r="BEF365" s="34"/>
      <c r="BEG365" s="34"/>
      <c r="BEH365" s="36"/>
      <c r="BEI365" s="36"/>
      <c r="BEJ365" s="37"/>
      <c r="BEK365" s="37"/>
      <c r="BEL365" s="38"/>
      <c r="BEM365" s="38"/>
      <c r="BEN365" s="39"/>
      <c r="BEO365" s="34"/>
      <c r="BEP365" s="34"/>
      <c r="BEQ365" s="34"/>
      <c r="BER365" s="35"/>
      <c r="BES365" s="35"/>
      <c r="BET365" s="35"/>
      <c r="BEU365" s="35"/>
      <c r="BEV365" s="35"/>
      <c r="BEW365" s="34"/>
      <c r="BEX365" s="34"/>
      <c r="BEY365" s="36"/>
      <c r="BEZ365" s="36"/>
      <c r="BFA365" s="37"/>
      <c r="BFB365" s="37"/>
      <c r="BFC365" s="38"/>
      <c r="BFD365" s="38"/>
      <c r="BFE365" s="39"/>
      <c r="BFF365" s="34"/>
      <c r="BFG365" s="34"/>
      <c r="BFH365" s="34"/>
      <c r="BFI365" s="35"/>
      <c r="BFJ365" s="35"/>
      <c r="BFK365" s="35"/>
      <c r="BFL365" s="35"/>
      <c r="BFM365" s="35"/>
      <c r="BFN365" s="34"/>
      <c r="BFO365" s="34"/>
      <c r="BFP365" s="36"/>
      <c r="BFQ365" s="36"/>
      <c r="BFR365" s="37"/>
      <c r="BFS365" s="37"/>
      <c r="BFT365" s="38"/>
      <c r="BFU365" s="38"/>
      <c r="BFV365" s="39"/>
      <c r="BFW365" s="34"/>
      <c r="BFX365" s="34"/>
      <c r="BFY365" s="34"/>
      <c r="BFZ365" s="35"/>
      <c r="BGA365" s="35"/>
      <c r="BGB365" s="35"/>
      <c r="BGC365" s="35"/>
      <c r="BGD365" s="35"/>
      <c r="BGE365" s="34"/>
      <c r="BGF365" s="34"/>
      <c r="BGG365" s="36"/>
      <c r="BGH365" s="36"/>
      <c r="BGI365" s="37"/>
      <c r="BGJ365" s="37"/>
      <c r="BGK365" s="38"/>
      <c r="BGL365" s="38"/>
      <c r="BGM365" s="39"/>
      <c r="BGN365" s="34"/>
      <c r="BGO365" s="34"/>
      <c r="BGP365" s="34"/>
      <c r="BGQ365" s="35"/>
      <c r="BGR365" s="35"/>
      <c r="BGS365" s="35"/>
      <c r="BGT365" s="35"/>
      <c r="BGU365" s="35"/>
      <c r="BGV365" s="34"/>
      <c r="BGW365" s="34"/>
      <c r="BGX365" s="36"/>
      <c r="BGY365" s="36"/>
      <c r="BGZ365" s="37"/>
      <c r="BHA365" s="37"/>
      <c r="BHB365" s="38"/>
      <c r="BHC365" s="38"/>
      <c r="BHD365" s="39"/>
      <c r="BHE365" s="34"/>
      <c r="BHF365" s="34"/>
      <c r="BHG365" s="34"/>
      <c r="BHH365" s="35"/>
      <c r="BHI365" s="35"/>
      <c r="BHJ365" s="35"/>
      <c r="BHK365" s="35"/>
      <c r="BHL365" s="35"/>
      <c r="BHM365" s="34"/>
      <c r="BHN365" s="34"/>
      <c r="BHO365" s="36"/>
      <c r="BHP365" s="36"/>
      <c r="BHQ365" s="37"/>
      <c r="BHR365" s="37"/>
      <c r="BHS365" s="38"/>
      <c r="BHT365" s="38"/>
      <c r="BHU365" s="39"/>
      <c r="BHV365" s="34"/>
      <c r="BHW365" s="34"/>
      <c r="BHX365" s="34"/>
      <c r="BHY365" s="35"/>
      <c r="BHZ365" s="35"/>
      <c r="BIA365" s="35"/>
      <c r="BIB365" s="35"/>
      <c r="BIC365" s="35"/>
      <c r="BID365" s="34"/>
      <c r="BIE365" s="34"/>
      <c r="BIF365" s="36"/>
      <c r="BIG365" s="36"/>
      <c r="BIH365" s="37"/>
      <c r="BII365" s="37"/>
      <c r="BIJ365" s="38"/>
      <c r="BIK365" s="38"/>
      <c r="BIL365" s="39"/>
      <c r="BIM365" s="34"/>
      <c r="BIN365" s="34"/>
      <c r="BIO365" s="34"/>
      <c r="BIP365" s="35"/>
      <c r="BIQ365" s="35"/>
      <c r="BIR365" s="35"/>
      <c r="BIS365" s="35"/>
      <c r="BIT365" s="35"/>
      <c r="BIU365" s="34"/>
      <c r="BIV365" s="34"/>
      <c r="BIW365" s="36"/>
      <c r="BIX365" s="36"/>
      <c r="BIY365" s="37"/>
      <c r="BIZ365" s="37"/>
      <c r="BJA365" s="38"/>
      <c r="BJB365" s="38"/>
      <c r="BJC365" s="39"/>
      <c r="BJD365" s="34"/>
      <c r="BJE365" s="34"/>
      <c r="BJF365" s="34"/>
      <c r="BJG365" s="35"/>
      <c r="BJH365" s="35"/>
      <c r="BJI365" s="35"/>
      <c r="BJJ365" s="35"/>
      <c r="BJK365" s="35"/>
      <c r="BJL365" s="34"/>
      <c r="BJM365" s="34"/>
      <c r="BJN365" s="36"/>
      <c r="BJO365" s="36"/>
      <c r="BJP365" s="37"/>
      <c r="BJQ365" s="37"/>
      <c r="BJR365" s="38"/>
      <c r="BJS365" s="38"/>
      <c r="BJT365" s="39"/>
      <c r="BJU365" s="34"/>
      <c r="BJV365" s="34"/>
      <c r="BJW365" s="34"/>
      <c r="BJX365" s="35"/>
      <c r="BJY365" s="35"/>
      <c r="BJZ365" s="35"/>
      <c r="BKA365" s="35"/>
      <c r="BKB365" s="35"/>
      <c r="BKC365" s="34"/>
      <c r="BKD365" s="34"/>
      <c r="BKE365" s="36"/>
      <c r="BKF365" s="36"/>
      <c r="BKG365" s="37"/>
      <c r="BKH365" s="37"/>
      <c r="BKI365" s="38"/>
      <c r="BKJ365" s="38"/>
      <c r="BKK365" s="39"/>
      <c r="BKL365" s="34"/>
      <c r="BKM365" s="34"/>
      <c r="BKN365" s="34"/>
      <c r="BKO365" s="35"/>
      <c r="BKP365" s="35"/>
      <c r="BKQ365" s="35"/>
      <c r="BKR365" s="35"/>
      <c r="BKS365" s="35"/>
      <c r="BKT365" s="34"/>
      <c r="BKU365" s="34"/>
      <c r="BKV365" s="36"/>
      <c r="BKW365" s="36"/>
      <c r="BKX365" s="37"/>
      <c r="BKY365" s="37"/>
      <c r="BKZ365" s="38"/>
      <c r="BLA365" s="38"/>
      <c r="BLB365" s="39"/>
      <c r="BLC365" s="34"/>
      <c r="BLD365" s="34"/>
      <c r="BLE365" s="34"/>
      <c r="BLF365" s="35"/>
      <c r="BLG365" s="35"/>
      <c r="BLH365" s="35"/>
      <c r="BLI365" s="35"/>
      <c r="BLJ365" s="35"/>
      <c r="BLK365" s="34"/>
      <c r="BLL365" s="34"/>
      <c r="BLM365" s="36"/>
      <c r="BLN365" s="36"/>
      <c r="BLO365" s="37"/>
      <c r="BLP365" s="37"/>
      <c r="BLQ365" s="38"/>
      <c r="BLR365" s="38"/>
      <c r="BLS365" s="39"/>
      <c r="BLT365" s="34"/>
      <c r="BLU365" s="34"/>
      <c r="BLV365" s="34"/>
      <c r="BLW365" s="35"/>
      <c r="BLX365" s="35"/>
      <c r="BLY365" s="35"/>
      <c r="BLZ365" s="35"/>
      <c r="BMA365" s="35"/>
      <c r="BMB365" s="34"/>
      <c r="BMC365" s="34"/>
      <c r="BMD365" s="36"/>
      <c r="BME365" s="36"/>
      <c r="BMF365" s="37"/>
      <c r="BMG365" s="37"/>
      <c r="BMH365" s="38"/>
      <c r="BMI365" s="38"/>
      <c r="BMJ365" s="39"/>
      <c r="BMK365" s="34"/>
      <c r="BML365" s="34"/>
      <c r="BMM365" s="34"/>
      <c r="BMN365" s="35"/>
      <c r="BMO365" s="35"/>
      <c r="BMP365" s="35"/>
      <c r="BMQ365" s="35"/>
      <c r="BMR365" s="35"/>
      <c r="BMS365" s="34"/>
      <c r="BMT365" s="34"/>
      <c r="BMU365" s="36"/>
      <c r="BMV365" s="36"/>
      <c r="BMW365" s="37"/>
      <c r="BMX365" s="37"/>
      <c r="BMY365" s="38"/>
      <c r="BMZ365" s="38"/>
      <c r="BNA365" s="39"/>
      <c r="BNB365" s="34"/>
      <c r="BNC365" s="34"/>
      <c r="BND365" s="34"/>
      <c r="BNE365" s="35"/>
      <c r="BNF365" s="35"/>
      <c r="BNG365" s="35"/>
      <c r="BNH365" s="35"/>
      <c r="BNI365" s="35"/>
      <c r="BNJ365" s="34"/>
      <c r="BNK365" s="34"/>
      <c r="BNL365" s="36"/>
      <c r="BNM365" s="36"/>
      <c r="BNN365" s="37"/>
      <c r="BNO365" s="37"/>
      <c r="BNP365" s="38"/>
      <c r="BNQ365" s="38"/>
      <c r="BNR365" s="39"/>
      <c r="BNS365" s="34"/>
      <c r="BNT365" s="34"/>
      <c r="BNU365" s="34"/>
      <c r="BNV365" s="35"/>
      <c r="BNW365" s="35"/>
      <c r="BNX365" s="35"/>
      <c r="BNY365" s="35"/>
      <c r="BNZ365" s="35"/>
      <c r="BOA365" s="34"/>
      <c r="BOB365" s="34"/>
      <c r="BOC365" s="36"/>
      <c r="BOD365" s="36"/>
      <c r="BOE365" s="37"/>
      <c r="BOF365" s="37"/>
      <c r="BOG365" s="38"/>
      <c r="BOH365" s="38"/>
      <c r="BOI365" s="39"/>
      <c r="BOJ365" s="34"/>
      <c r="BOK365" s="34"/>
      <c r="BOL365" s="34"/>
      <c r="BOM365" s="35"/>
      <c r="BON365" s="35"/>
      <c r="BOO365" s="35"/>
      <c r="BOP365" s="35"/>
      <c r="BOQ365" s="35"/>
      <c r="BOR365" s="34"/>
      <c r="BOS365" s="34"/>
      <c r="BOT365" s="36"/>
      <c r="BOU365" s="36"/>
      <c r="BOV365" s="37"/>
      <c r="BOW365" s="37"/>
      <c r="BOX365" s="38"/>
      <c r="BOY365" s="38"/>
      <c r="BOZ365" s="39"/>
      <c r="BPA365" s="34"/>
      <c r="BPB365" s="34"/>
      <c r="BPC365" s="34"/>
      <c r="BPD365" s="35"/>
      <c r="BPE365" s="35"/>
      <c r="BPF365" s="35"/>
      <c r="BPG365" s="35"/>
      <c r="BPH365" s="35"/>
      <c r="BPI365" s="34"/>
      <c r="BPJ365" s="34"/>
      <c r="BPK365" s="36"/>
      <c r="BPL365" s="36"/>
      <c r="BPM365" s="37"/>
      <c r="BPN365" s="37"/>
      <c r="BPO365" s="38"/>
      <c r="BPP365" s="38"/>
      <c r="BPQ365" s="39"/>
      <c r="BPR365" s="34"/>
      <c r="BPS365" s="34"/>
      <c r="BPT365" s="34"/>
      <c r="BPU365" s="35"/>
      <c r="BPV365" s="35"/>
      <c r="BPW365" s="35"/>
      <c r="BPX365" s="35"/>
      <c r="BPY365" s="35"/>
      <c r="BPZ365" s="34"/>
      <c r="BQA365" s="34"/>
      <c r="BQB365" s="36"/>
      <c r="BQC365" s="36"/>
      <c r="BQD365" s="37"/>
      <c r="BQE365" s="37"/>
      <c r="BQF365" s="38"/>
      <c r="BQG365" s="38"/>
      <c r="BQH365" s="39"/>
      <c r="BQI365" s="34"/>
      <c r="BQJ365" s="34"/>
      <c r="BQK365" s="34"/>
      <c r="BQL365" s="35"/>
      <c r="BQM365" s="35"/>
      <c r="BQN365" s="35"/>
      <c r="BQO365" s="35"/>
      <c r="BQP365" s="35"/>
      <c r="BQQ365" s="34"/>
      <c r="BQR365" s="34"/>
      <c r="BQS365" s="36"/>
      <c r="BQT365" s="36"/>
      <c r="BQU365" s="37"/>
      <c r="BQV365" s="37"/>
      <c r="BQW365" s="38"/>
      <c r="BQX365" s="38"/>
      <c r="BQY365" s="39"/>
      <c r="BQZ365" s="34"/>
      <c r="BRA365" s="34"/>
      <c r="BRB365" s="34"/>
      <c r="BRC365" s="35"/>
      <c r="BRD365" s="35"/>
      <c r="BRE365" s="35"/>
      <c r="BRF365" s="35"/>
      <c r="BRG365" s="35"/>
      <c r="BRH365" s="34"/>
      <c r="BRI365" s="34"/>
      <c r="BRJ365" s="36"/>
      <c r="BRK365" s="36"/>
      <c r="BRL365" s="37"/>
      <c r="BRM365" s="37"/>
      <c r="BRN365" s="38"/>
      <c r="BRO365" s="38"/>
      <c r="BRP365" s="39"/>
      <c r="BRQ365" s="34"/>
      <c r="BRR365" s="34"/>
      <c r="BRS365" s="34"/>
      <c r="BRT365" s="35"/>
      <c r="BRU365" s="35"/>
      <c r="BRV365" s="35"/>
      <c r="BRW365" s="35"/>
      <c r="BRX365" s="35"/>
      <c r="BRY365" s="34"/>
      <c r="BRZ365" s="34"/>
      <c r="BSA365" s="36"/>
      <c r="BSB365" s="36"/>
      <c r="BSC365" s="37"/>
      <c r="BSD365" s="37"/>
      <c r="BSE365" s="38"/>
      <c r="BSF365" s="38"/>
      <c r="BSG365" s="39"/>
      <c r="BSH365" s="34"/>
      <c r="BSI365" s="34"/>
      <c r="BSJ365" s="34"/>
      <c r="BSK365" s="35"/>
      <c r="BSL365" s="35"/>
      <c r="BSM365" s="35"/>
      <c r="BSN365" s="35"/>
      <c r="BSO365" s="35"/>
      <c r="BSP365" s="34"/>
      <c r="BSQ365" s="34"/>
      <c r="BSR365" s="36"/>
      <c r="BSS365" s="36"/>
      <c r="BST365" s="37"/>
      <c r="BSU365" s="37"/>
      <c r="BSV365" s="38"/>
      <c r="BSW365" s="38"/>
      <c r="BSX365" s="39"/>
      <c r="BSY365" s="34"/>
      <c r="BSZ365" s="34"/>
      <c r="BTA365" s="34"/>
      <c r="BTB365" s="35"/>
      <c r="BTC365" s="35"/>
      <c r="BTD365" s="35"/>
      <c r="BTE365" s="35"/>
      <c r="BTF365" s="35"/>
      <c r="BTG365" s="34"/>
      <c r="BTH365" s="34"/>
      <c r="BTI365" s="36"/>
      <c r="BTJ365" s="36"/>
      <c r="BTK365" s="37"/>
      <c r="BTL365" s="37"/>
      <c r="BTM365" s="38"/>
      <c r="BTN365" s="38"/>
      <c r="BTO365" s="39"/>
      <c r="BTP365" s="34"/>
      <c r="BTQ365" s="34"/>
      <c r="BTR365" s="34"/>
      <c r="BTS365" s="35"/>
      <c r="BTT365" s="35"/>
      <c r="BTU365" s="35"/>
      <c r="BTV365" s="35"/>
      <c r="BTW365" s="35"/>
      <c r="BTX365" s="34"/>
      <c r="BTY365" s="34"/>
      <c r="BTZ365" s="36"/>
      <c r="BUA365" s="36"/>
      <c r="BUB365" s="37"/>
      <c r="BUC365" s="37"/>
      <c r="BUD365" s="38"/>
      <c r="BUE365" s="38"/>
      <c r="BUF365" s="39"/>
      <c r="BUG365" s="34"/>
      <c r="BUH365" s="34"/>
      <c r="BUI365" s="34"/>
      <c r="BUJ365" s="35"/>
      <c r="BUK365" s="35"/>
      <c r="BUL365" s="35"/>
      <c r="BUM365" s="35"/>
      <c r="BUN365" s="35"/>
      <c r="BUO365" s="34"/>
      <c r="BUP365" s="34"/>
      <c r="BUQ365" s="36"/>
      <c r="BUR365" s="36"/>
      <c r="BUS365" s="37"/>
      <c r="BUT365" s="37"/>
      <c r="BUU365" s="38"/>
      <c r="BUV365" s="38"/>
      <c r="BUW365" s="39"/>
      <c r="BUX365" s="34"/>
      <c r="BUY365" s="34"/>
      <c r="BUZ365" s="34"/>
      <c r="BVA365" s="35"/>
      <c r="BVB365" s="35"/>
      <c r="BVC365" s="35"/>
      <c r="BVD365" s="35"/>
      <c r="BVE365" s="35"/>
      <c r="BVF365" s="34"/>
      <c r="BVG365" s="34"/>
      <c r="BVH365" s="36"/>
      <c r="BVI365" s="36"/>
      <c r="BVJ365" s="37"/>
      <c r="BVK365" s="37"/>
      <c r="BVL365" s="38"/>
      <c r="BVM365" s="38"/>
      <c r="BVN365" s="39"/>
      <c r="BVO365" s="34"/>
      <c r="BVP365" s="34"/>
      <c r="BVQ365" s="34"/>
      <c r="BVR365" s="35"/>
      <c r="BVS365" s="35"/>
      <c r="BVT365" s="35"/>
      <c r="BVU365" s="35"/>
      <c r="BVV365" s="35"/>
      <c r="BVW365" s="34"/>
      <c r="BVX365" s="34"/>
      <c r="BVY365" s="36"/>
      <c r="BVZ365" s="36"/>
      <c r="BWA365" s="37"/>
      <c r="BWB365" s="37"/>
      <c r="BWC365" s="38"/>
      <c r="BWD365" s="38"/>
      <c r="BWE365" s="39"/>
      <c r="BWF365" s="34"/>
      <c r="BWG365" s="34"/>
      <c r="BWH365" s="34"/>
      <c r="BWI365" s="35"/>
      <c r="BWJ365" s="35"/>
      <c r="BWK365" s="35"/>
      <c r="BWL365" s="35"/>
      <c r="BWM365" s="35"/>
      <c r="BWN365" s="34"/>
      <c r="BWO365" s="34"/>
      <c r="BWP365" s="36"/>
      <c r="BWQ365" s="36"/>
      <c r="BWR365" s="37"/>
      <c r="BWS365" s="37"/>
      <c r="BWT365" s="38"/>
      <c r="BWU365" s="38"/>
      <c r="BWV365" s="39"/>
      <c r="BWW365" s="34"/>
      <c r="BWX365" s="34"/>
      <c r="BWY365" s="34"/>
      <c r="BWZ365" s="35"/>
      <c r="BXA365" s="35"/>
      <c r="BXB365" s="35"/>
      <c r="BXC365" s="35"/>
      <c r="BXD365" s="35"/>
      <c r="BXE365" s="34"/>
      <c r="BXF365" s="34"/>
      <c r="BXG365" s="36"/>
      <c r="BXH365" s="36"/>
      <c r="BXI365" s="37"/>
      <c r="BXJ365" s="37"/>
      <c r="BXK365" s="38"/>
      <c r="BXL365" s="38"/>
      <c r="BXM365" s="39"/>
      <c r="BXN365" s="34"/>
      <c r="BXO365" s="34"/>
      <c r="BXP365" s="34"/>
      <c r="BXQ365" s="35"/>
      <c r="BXR365" s="35"/>
      <c r="BXS365" s="35"/>
      <c r="BXT365" s="35"/>
      <c r="BXU365" s="35"/>
      <c r="BXV365" s="34"/>
      <c r="BXW365" s="34"/>
      <c r="BXX365" s="36"/>
      <c r="BXY365" s="36"/>
      <c r="BXZ365" s="37"/>
      <c r="BYA365" s="37"/>
      <c r="BYB365" s="38"/>
      <c r="BYC365" s="38"/>
      <c r="BYD365" s="39"/>
      <c r="BYE365" s="34"/>
      <c r="BYF365" s="34"/>
      <c r="BYG365" s="34"/>
      <c r="BYH365" s="35"/>
      <c r="BYI365" s="35"/>
      <c r="BYJ365" s="35"/>
      <c r="BYK365" s="35"/>
      <c r="BYL365" s="35"/>
      <c r="BYM365" s="34"/>
      <c r="BYN365" s="34"/>
      <c r="BYO365" s="36"/>
      <c r="BYP365" s="36"/>
      <c r="BYQ365" s="37"/>
      <c r="BYR365" s="37"/>
      <c r="BYS365" s="38"/>
      <c r="BYT365" s="38"/>
      <c r="BYU365" s="39"/>
      <c r="BYV365" s="34"/>
      <c r="BYW365" s="34"/>
      <c r="BYX365" s="34"/>
      <c r="BYY365" s="35"/>
      <c r="BYZ365" s="35"/>
      <c r="BZA365" s="35"/>
      <c r="BZB365" s="35"/>
      <c r="BZC365" s="35"/>
      <c r="BZD365" s="34"/>
      <c r="BZE365" s="34"/>
      <c r="BZF365" s="36"/>
      <c r="BZG365" s="36"/>
      <c r="BZH365" s="37"/>
      <c r="BZI365" s="37"/>
      <c r="BZJ365" s="38"/>
      <c r="BZK365" s="38"/>
      <c r="BZL365" s="39"/>
      <c r="BZM365" s="34"/>
      <c r="BZN365" s="34"/>
      <c r="BZO365" s="34"/>
      <c r="BZP365" s="35"/>
      <c r="BZQ365" s="35"/>
      <c r="BZR365" s="35"/>
      <c r="BZS365" s="35"/>
      <c r="BZT365" s="35"/>
      <c r="BZU365" s="34"/>
      <c r="BZV365" s="34"/>
      <c r="BZW365" s="36"/>
      <c r="BZX365" s="36"/>
      <c r="BZY365" s="37"/>
      <c r="BZZ365" s="37"/>
      <c r="CAA365" s="38"/>
      <c r="CAB365" s="38"/>
      <c r="CAC365" s="39"/>
      <c r="CAD365" s="34"/>
      <c r="CAE365" s="34"/>
      <c r="CAF365" s="34"/>
      <c r="CAG365" s="35"/>
      <c r="CAH365" s="35"/>
      <c r="CAI365" s="35"/>
      <c r="CAJ365" s="35"/>
      <c r="CAK365" s="35"/>
      <c r="CAL365" s="34"/>
      <c r="CAM365" s="34"/>
      <c r="CAN365" s="36"/>
      <c r="CAO365" s="36"/>
      <c r="CAP365" s="37"/>
      <c r="CAQ365" s="37"/>
      <c r="CAR365" s="38"/>
      <c r="CAS365" s="38"/>
      <c r="CAT365" s="39"/>
      <c r="CAU365" s="34"/>
      <c r="CAV365" s="34"/>
      <c r="CAW365" s="34"/>
      <c r="CAX365" s="35"/>
      <c r="CAY365" s="35"/>
      <c r="CAZ365" s="35"/>
      <c r="CBA365" s="35"/>
      <c r="CBB365" s="35"/>
      <c r="CBC365" s="34"/>
      <c r="CBD365" s="34"/>
      <c r="CBE365" s="36"/>
      <c r="CBF365" s="36"/>
      <c r="CBG365" s="37"/>
      <c r="CBH365" s="37"/>
      <c r="CBI365" s="38"/>
      <c r="CBJ365" s="38"/>
      <c r="CBK365" s="39"/>
      <c r="CBL365" s="34"/>
      <c r="CBM365" s="34"/>
      <c r="CBN365" s="34"/>
      <c r="CBO365" s="35"/>
      <c r="CBP365" s="35"/>
      <c r="CBQ365" s="35"/>
      <c r="CBR365" s="35"/>
      <c r="CBS365" s="35"/>
      <c r="CBT365" s="34"/>
      <c r="CBU365" s="34"/>
      <c r="CBV365" s="36"/>
      <c r="CBW365" s="36"/>
      <c r="CBX365" s="37"/>
      <c r="CBY365" s="37"/>
      <c r="CBZ365" s="38"/>
      <c r="CCA365" s="38"/>
      <c r="CCB365" s="39"/>
      <c r="CCC365" s="34"/>
      <c r="CCD365" s="34"/>
      <c r="CCE365" s="34"/>
      <c r="CCF365" s="35"/>
      <c r="CCG365" s="35"/>
      <c r="CCH365" s="35"/>
      <c r="CCI365" s="35"/>
      <c r="CCJ365" s="35"/>
      <c r="CCK365" s="34"/>
      <c r="CCL365" s="34"/>
      <c r="CCM365" s="36"/>
      <c r="CCN365" s="36"/>
      <c r="CCO365" s="37"/>
      <c r="CCP365" s="37"/>
      <c r="CCQ365" s="38"/>
      <c r="CCR365" s="38"/>
      <c r="CCS365" s="39"/>
      <c r="CCT365" s="34"/>
      <c r="CCU365" s="34"/>
      <c r="CCV365" s="34"/>
      <c r="CCW365" s="35"/>
      <c r="CCX365" s="35"/>
      <c r="CCY365" s="35"/>
      <c r="CCZ365" s="35"/>
      <c r="CDA365" s="35"/>
      <c r="CDB365" s="34"/>
      <c r="CDC365" s="34"/>
      <c r="CDD365" s="36"/>
      <c r="CDE365" s="36"/>
      <c r="CDF365" s="37"/>
      <c r="CDG365" s="37"/>
      <c r="CDH365" s="38"/>
      <c r="CDI365" s="38"/>
      <c r="CDJ365" s="39"/>
      <c r="CDK365" s="34"/>
      <c r="CDL365" s="34"/>
      <c r="CDM365" s="34"/>
      <c r="CDN365" s="35"/>
      <c r="CDO365" s="35"/>
      <c r="CDP365" s="35"/>
      <c r="CDQ365" s="35"/>
      <c r="CDR365" s="35"/>
      <c r="CDS365" s="34"/>
      <c r="CDT365" s="34"/>
      <c r="CDU365" s="36"/>
      <c r="CDV365" s="36"/>
      <c r="CDW365" s="37"/>
      <c r="CDX365" s="37"/>
      <c r="CDY365" s="38"/>
      <c r="CDZ365" s="38"/>
      <c r="CEA365" s="39"/>
      <c r="CEB365" s="34"/>
      <c r="CEC365" s="34"/>
      <c r="CED365" s="34"/>
      <c r="CEE365" s="35"/>
      <c r="CEF365" s="35"/>
      <c r="CEG365" s="35"/>
      <c r="CEH365" s="35"/>
      <c r="CEI365" s="35"/>
      <c r="CEJ365" s="34"/>
      <c r="CEK365" s="34"/>
      <c r="CEL365" s="36"/>
      <c r="CEM365" s="36"/>
      <c r="CEN365" s="37"/>
      <c r="CEO365" s="37"/>
      <c r="CEP365" s="38"/>
      <c r="CEQ365" s="38"/>
      <c r="CER365" s="39"/>
      <c r="CES365" s="34"/>
      <c r="CET365" s="34"/>
      <c r="CEU365" s="34"/>
      <c r="CEV365" s="35"/>
      <c r="CEW365" s="35"/>
      <c r="CEX365" s="35"/>
      <c r="CEY365" s="35"/>
      <c r="CEZ365" s="35"/>
      <c r="CFA365" s="34"/>
      <c r="CFB365" s="34"/>
      <c r="CFC365" s="36"/>
      <c r="CFD365" s="36"/>
      <c r="CFE365" s="37"/>
      <c r="CFF365" s="37"/>
      <c r="CFG365" s="38"/>
      <c r="CFH365" s="38"/>
      <c r="CFI365" s="39"/>
      <c r="CFJ365" s="34"/>
      <c r="CFK365" s="34"/>
      <c r="CFL365" s="34"/>
      <c r="CFM365" s="35"/>
      <c r="CFN365" s="35"/>
      <c r="CFO365" s="35"/>
      <c r="CFP365" s="35"/>
      <c r="CFQ365" s="35"/>
      <c r="CFR365" s="34"/>
      <c r="CFS365" s="34"/>
      <c r="CFT365" s="36"/>
      <c r="CFU365" s="36"/>
      <c r="CFV365" s="37"/>
      <c r="CFW365" s="37"/>
      <c r="CFX365" s="38"/>
      <c r="CFY365" s="38"/>
      <c r="CFZ365" s="39"/>
      <c r="CGA365" s="34"/>
      <c r="CGB365" s="34"/>
      <c r="CGC365" s="34"/>
      <c r="CGD365" s="35"/>
      <c r="CGE365" s="35"/>
      <c r="CGF365" s="35"/>
      <c r="CGG365" s="35"/>
      <c r="CGH365" s="35"/>
      <c r="CGI365" s="34"/>
      <c r="CGJ365" s="34"/>
      <c r="CGK365" s="36"/>
      <c r="CGL365" s="36"/>
      <c r="CGM365" s="37"/>
      <c r="CGN365" s="37"/>
      <c r="CGO365" s="38"/>
      <c r="CGP365" s="38"/>
      <c r="CGQ365" s="39"/>
      <c r="CGR365" s="34"/>
      <c r="CGS365" s="34"/>
      <c r="CGT365" s="34"/>
      <c r="CGU365" s="35"/>
      <c r="CGV365" s="35"/>
      <c r="CGW365" s="35"/>
      <c r="CGX365" s="35"/>
      <c r="CGY365" s="35"/>
      <c r="CGZ365" s="34"/>
      <c r="CHA365" s="34"/>
      <c r="CHB365" s="36"/>
      <c r="CHC365" s="36"/>
      <c r="CHD365" s="37"/>
      <c r="CHE365" s="37"/>
      <c r="CHF365" s="38"/>
      <c r="CHG365" s="38"/>
      <c r="CHH365" s="39"/>
      <c r="CHI365" s="34"/>
      <c r="CHJ365" s="34"/>
      <c r="CHK365" s="34"/>
      <c r="CHL365" s="35"/>
      <c r="CHM365" s="35"/>
      <c r="CHN365" s="35"/>
      <c r="CHO365" s="35"/>
      <c r="CHP365" s="35"/>
      <c r="CHQ365" s="34"/>
      <c r="CHR365" s="34"/>
      <c r="CHS365" s="36"/>
      <c r="CHT365" s="36"/>
      <c r="CHU365" s="37"/>
      <c r="CHV365" s="37"/>
      <c r="CHW365" s="38"/>
      <c r="CHX365" s="38"/>
      <c r="CHY365" s="39"/>
      <c r="CHZ365" s="34"/>
      <c r="CIA365" s="34"/>
      <c r="CIB365" s="34"/>
      <c r="CIC365" s="35"/>
      <c r="CID365" s="35"/>
      <c r="CIE365" s="35"/>
      <c r="CIF365" s="35"/>
      <c r="CIG365" s="35"/>
      <c r="CIH365" s="34"/>
      <c r="CII365" s="34"/>
      <c r="CIJ365" s="36"/>
      <c r="CIK365" s="36"/>
      <c r="CIL365" s="37"/>
      <c r="CIM365" s="37"/>
      <c r="CIN365" s="38"/>
      <c r="CIO365" s="38"/>
      <c r="CIP365" s="39"/>
      <c r="CIQ365" s="34"/>
      <c r="CIR365" s="34"/>
      <c r="CIS365" s="34"/>
      <c r="CIT365" s="35"/>
      <c r="CIU365" s="35"/>
      <c r="CIV365" s="35"/>
      <c r="CIW365" s="35"/>
      <c r="CIX365" s="35"/>
      <c r="CIY365" s="34"/>
      <c r="CIZ365" s="34"/>
      <c r="CJA365" s="36"/>
      <c r="CJB365" s="36"/>
      <c r="CJC365" s="37"/>
      <c r="CJD365" s="37"/>
      <c r="CJE365" s="38"/>
      <c r="CJF365" s="38"/>
      <c r="CJG365" s="39"/>
      <c r="CJH365" s="34"/>
      <c r="CJI365" s="34"/>
      <c r="CJJ365" s="34"/>
      <c r="CJK365" s="35"/>
      <c r="CJL365" s="35"/>
      <c r="CJM365" s="35"/>
      <c r="CJN365" s="35"/>
      <c r="CJO365" s="35"/>
      <c r="CJP365" s="34"/>
      <c r="CJQ365" s="34"/>
      <c r="CJR365" s="36"/>
      <c r="CJS365" s="36"/>
      <c r="CJT365" s="37"/>
      <c r="CJU365" s="37"/>
      <c r="CJV365" s="38"/>
      <c r="CJW365" s="38"/>
      <c r="CJX365" s="39"/>
      <c r="CJY365" s="34"/>
      <c r="CJZ365" s="34"/>
      <c r="CKA365" s="34"/>
      <c r="CKB365" s="35"/>
      <c r="CKC365" s="35"/>
      <c r="CKD365" s="35"/>
      <c r="CKE365" s="35"/>
      <c r="CKF365" s="35"/>
      <c r="CKG365" s="34"/>
      <c r="CKH365" s="34"/>
      <c r="CKI365" s="36"/>
      <c r="CKJ365" s="36"/>
      <c r="CKK365" s="37"/>
      <c r="CKL365" s="37"/>
      <c r="CKM365" s="38"/>
      <c r="CKN365" s="38"/>
      <c r="CKO365" s="39"/>
      <c r="CKP365" s="34"/>
      <c r="CKQ365" s="34"/>
      <c r="CKR365" s="34"/>
      <c r="CKS365" s="35"/>
      <c r="CKT365" s="35"/>
      <c r="CKU365" s="35"/>
      <c r="CKV365" s="35"/>
      <c r="CKW365" s="35"/>
      <c r="CKX365" s="34"/>
      <c r="CKY365" s="34"/>
      <c r="CKZ365" s="36"/>
      <c r="CLA365" s="36"/>
      <c r="CLB365" s="37"/>
      <c r="CLC365" s="37"/>
      <c r="CLD365" s="38"/>
      <c r="CLE365" s="38"/>
      <c r="CLF365" s="39"/>
      <c r="CLG365" s="34"/>
      <c r="CLH365" s="34"/>
      <c r="CLI365" s="34"/>
      <c r="CLJ365" s="35"/>
      <c r="CLK365" s="35"/>
      <c r="CLL365" s="35"/>
      <c r="CLM365" s="35"/>
      <c r="CLN365" s="35"/>
      <c r="CLO365" s="34"/>
      <c r="CLP365" s="34"/>
      <c r="CLQ365" s="36"/>
      <c r="CLR365" s="36"/>
      <c r="CLS365" s="37"/>
      <c r="CLT365" s="37"/>
      <c r="CLU365" s="38"/>
      <c r="CLV365" s="38"/>
      <c r="CLW365" s="39"/>
      <c r="CLX365" s="34"/>
      <c r="CLY365" s="34"/>
      <c r="CLZ365" s="34"/>
      <c r="CMA365" s="35"/>
      <c r="CMB365" s="35"/>
      <c r="CMC365" s="35"/>
      <c r="CMD365" s="35"/>
      <c r="CME365" s="35"/>
      <c r="CMF365" s="34"/>
      <c r="CMG365" s="34"/>
      <c r="CMH365" s="36"/>
      <c r="CMI365" s="36"/>
      <c r="CMJ365" s="37"/>
      <c r="CMK365" s="37"/>
      <c r="CML365" s="38"/>
      <c r="CMM365" s="38"/>
      <c r="CMN365" s="39"/>
      <c r="CMO365" s="34"/>
      <c r="CMP365" s="34"/>
      <c r="CMQ365" s="34"/>
      <c r="CMR365" s="35"/>
      <c r="CMS365" s="35"/>
      <c r="CMT365" s="35"/>
      <c r="CMU365" s="35"/>
      <c r="CMV365" s="35"/>
      <c r="CMW365" s="34"/>
      <c r="CMX365" s="34"/>
      <c r="CMY365" s="36"/>
      <c r="CMZ365" s="36"/>
      <c r="CNA365" s="37"/>
      <c r="CNB365" s="37"/>
      <c r="CNC365" s="38"/>
      <c r="CND365" s="38"/>
      <c r="CNE365" s="39"/>
      <c r="CNF365" s="34"/>
      <c r="CNG365" s="34"/>
      <c r="CNH365" s="34"/>
      <c r="CNI365" s="35"/>
      <c r="CNJ365" s="35"/>
      <c r="CNK365" s="35"/>
      <c r="CNL365" s="35"/>
      <c r="CNM365" s="35"/>
      <c r="CNN365" s="34"/>
      <c r="CNO365" s="34"/>
      <c r="CNP365" s="36"/>
      <c r="CNQ365" s="36"/>
      <c r="CNR365" s="37"/>
      <c r="CNS365" s="37"/>
      <c r="CNT365" s="38"/>
      <c r="CNU365" s="38"/>
      <c r="CNV365" s="39"/>
      <c r="CNW365" s="34"/>
      <c r="CNX365" s="34"/>
      <c r="CNY365" s="34"/>
      <c r="CNZ365" s="35"/>
      <c r="COA365" s="35"/>
      <c r="COB365" s="35"/>
      <c r="COC365" s="35"/>
      <c r="COD365" s="35"/>
      <c r="COE365" s="34"/>
      <c r="COF365" s="34"/>
      <c r="COG365" s="36"/>
      <c r="COH365" s="36"/>
      <c r="COI365" s="37"/>
      <c r="COJ365" s="37"/>
      <c r="COK365" s="38"/>
      <c r="COL365" s="38"/>
      <c r="COM365" s="39"/>
      <c r="CON365" s="34"/>
      <c r="COO365" s="34"/>
      <c r="COP365" s="34"/>
      <c r="COQ365" s="35"/>
      <c r="COR365" s="35"/>
      <c r="COS365" s="35"/>
      <c r="COT365" s="35"/>
      <c r="COU365" s="35"/>
      <c r="COV365" s="34"/>
      <c r="COW365" s="34"/>
      <c r="COX365" s="36"/>
      <c r="COY365" s="36"/>
      <c r="COZ365" s="37"/>
      <c r="CPA365" s="37"/>
      <c r="CPB365" s="38"/>
      <c r="CPC365" s="38"/>
      <c r="CPD365" s="39"/>
      <c r="CPE365" s="34"/>
      <c r="CPF365" s="34"/>
      <c r="CPG365" s="34"/>
      <c r="CPH365" s="35"/>
      <c r="CPI365" s="35"/>
      <c r="CPJ365" s="35"/>
      <c r="CPK365" s="35"/>
      <c r="CPL365" s="35"/>
      <c r="CPM365" s="34"/>
      <c r="CPN365" s="34"/>
      <c r="CPO365" s="36"/>
      <c r="CPP365" s="36"/>
      <c r="CPQ365" s="37"/>
      <c r="CPR365" s="37"/>
      <c r="CPS365" s="38"/>
      <c r="CPT365" s="38"/>
      <c r="CPU365" s="39"/>
      <c r="CPV365" s="34"/>
      <c r="CPW365" s="34"/>
      <c r="CPX365" s="34"/>
      <c r="CPY365" s="35"/>
      <c r="CPZ365" s="35"/>
      <c r="CQA365" s="35"/>
      <c r="CQB365" s="35"/>
      <c r="CQC365" s="35"/>
      <c r="CQD365" s="34"/>
      <c r="CQE365" s="34"/>
      <c r="CQF365" s="36"/>
      <c r="CQG365" s="36"/>
      <c r="CQH365" s="37"/>
      <c r="CQI365" s="37"/>
      <c r="CQJ365" s="38"/>
      <c r="CQK365" s="38"/>
      <c r="CQL365" s="39"/>
      <c r="CQM365" s="34"/>
      <c r="CQN365" s="34"/>
      <c r="CQO365" s="34"/>
      <c r="CQP365" s="35"/>
      <c r="CQQ365" s="35"/>
      <c r="CQR365" s="35"/>
      <c r="CQS365" s="35"/>
      <c r="CQT365" s="35"/>
      <c r="CQU365" s="34"/>
      <c r="CQV365" s="34"/>
      <c r="CQW365" s="36"/>
      <c r="CQX365" s="36"/>
      <c r="CQY365" s="37"/>
      <c r="CQZ365" s="37"/>
      <c r="CRA365" s="38"/>
      <c r="CRB365" s="38"/>
      <c r="CRC365" s="39"/>
      <c r="CRD365" s="34"/>
      <c r="CRE365" s="34"/>
      <c r="CRF365" s="34"/>
      <c r="CRG365" s="35"/>
      <c r="CRH365" s="35"/>
      <c r="CRI365" s="35"/>
      <c r="CRJ365" s="35"/>
      <c r="CRK365" s="35"/>
      <c r="CRL365" s="34"/>
      <c r="CRM365" s="34"/>
      <c r="CRN365" s="36"/>
      <c r="CRO365" s="36"/>
      <c r="CRP365" s="37"/>
      <c r="CRQ365" s="37"/>
      <c r="CRR365" s="38"/>
      <c r="CRS365" s="38"/>
      <c r="CRT365" s="39"/>
      <c r="CRU365" s="34"/>
      <c r="CRV365" s="34"/>
      <c r="CRW365" s="34"/>
      <c r="CRX365" s="35"/>
      <c r="CRY365" s="35"/>
      <c r="CRZ365" s="35"/>
      <c r="CSA365" s="35"/>
      <c r="CSB365" s="35"/>
      <c r="CSC365" s="34"/>
      <c r="CSD365" s="34"/>
      <c r="CSE365" s="36"/>
      <c r="CSF365" s="36"/>
      <c r="CSG365" s="37"/>
      <c r="CSH365" s="37"/>
      <c r="CSI365" s="38"/>
      <c r="CSJ365" s="38"/>
      <c r="CSK365" s="39"/>
      <c r="CSL365" s="34"/>
      <c r="CSM365" s="34"/>
      <c r="CSN365" s="34"/>
      <c r="CSO365" s="35"/>
      <c r="CSP365" s="35"/>
      <c r="CSQ365" s="35"/>
      <c r="CSR365" s="35"/>
      <c r="CSS365" s="35"/>
      <c r="CST365" s="34"/>
      <c r="CSU365" s="34"/>
      <c r="CSV365" s="36"/>
      <c r="CSW365" s="36"/>
      <c r="CSX365" s="37"/>
      <c r="CSY365" s="37"/>
      <c r="CSZ365" s="38"/>
      <c r="CTA365" s="38"/>
      <c r="CTB365" s="39"/>
      <c r="CTC365" s="34"/>
      <c r="CTD365" s="34"/>
      <c r="CTE365" s="34"/>
      <c r="CTF365" s="35"/>
      <c r="CTG365" s="35"/>
      <c r="CTH365" s="35"/>
      <c r="CTI365" s="35"/>
      <c r="CTJ365" s="35"/>
      <c r="CTK365" s="34"/>
      <c r="CTL365" s="34"/>
      <c r="CTM365" s="36"/>
      <c r="CTN365" s="36"/>
      <c r="CTO365" s="37"/>
      <c r="CTP365" s="37"/>
      <c r="CTQ365" s="38"/>
      <c r="CTR365" s="38"/>
      <c r="CTS365" s="39"/>
      <c r="CTT365" s="34"/>
      <c r="CTU365" s="34"/>
      <c r="CTV365" s="34"/>
      <c r="CTW365" s="35"/>
      <c r="CTX365" s="35"/>
      <c r="CTY365" s="35"/>
      <c r="CTZ365" s="35"/>
      <c r="CUA365" s="35"/>
      <c r="CUB365" s="34"/>
      <c r="CUC365" s="34"/>
      <c r="CUD365" s="36"/>
      <c r="CUE365" s="36"/>
      <c r="CUF365" s="37"/>
      <c r="CUG365" s="37"/>
      <c r="CUH365" s="38"/>
      <c r="CUI365" s="38"/>
      <c r="CUJ365" s="39"/>
      <c r="CUK365" s="34"/>
      <c r="CUL365" s="34"/>
      <c r="CUM365" s="34"/>
      <c r="CUN365" s="35"/>
      <c r="CUO365" s="35"/>
      <c r="CUP365" s="35"/>
      <c r="CUQ365" s="35"/>
      <c r="CUR365" s="35"/>
      <c r="CUS365" s="34"/>
      <c r="CUT365" s="34"/>
      <c r="CUU365" s="36"/>
      <c r="CUV365" s="36"/>
      <c r="CUW365" s="37"/>
      <c r="CUX365" s="37"/>
      <c r="CUY365" s="38"/>
      <c r="CUZ365" s="38"/>
      <c r="CVA365" s="39"/>
      <c r="CVB365" s="34"/>
      <c r="CVC365" s="34"/>
      <c r="CVD365" s="34"/>
      <c r="CVE365" s="35"/>
      <c r="CVF365" s="35"/>
      <c r="CVG365" s="35"/>
      <c r="CVH365" s="35"/>
      <c r="CVI365" s="35"/>
      <c r="CVJ365" s="34"/>
      <c r="CVK365" s="34"/>
      <c r="CVL365" s="36"/>
      <c r="CVM365" s="36"/>
      <c r="CVN365" s="37"/>
      <c r="CVO365" s="37"/>
      <c r="CVP365" s="38"/>
      <c r="CVQ365" s="38"/>
      <c r="CVR365" s="39"/>
      <c r="CVS365" s="34"/>
      <c r="CVT365" s="34"/>
      <c r="CVU365" s="34"/>
      <c r="CVV365" s="35"/>
      <c r="CVW365" s="35"/>
      <c r="CVX365" s="35"/>
      <c r="CVY365" s="35"/>
      <c r="CVZ365" s="35"/>
      <c r="CWA365" s="34"/>
      <c r="CWB365" s="34"/>
      <c r="CWC365" s="36"/>
      <c r="CWD365" s="36"/>
      <c r="CWE365" s="37"/>
      <c r="CWF365" s="37"/>
      <c r="CWG365" s="38"/>
      <c r="CWH365" s="38"/>
      <c r="CWI365" s="39"/>
      <c r="CWJ365" s="34"/>
      <c r="CWK365" s="34"/>
      <c r="CWL365" s="34"/>
      <c r="CWM365" s="35"/>
      <c r="CWN365" s="35"/>
      <c r="CWO365" s="35"/>
      <c r="CWP365" s="35"/>
      <c r="CWQ365" s="35"/>
      <c r="CWR365" s="34"/>
      <c r="CWS365" s="34"/>
      <c r="CWT365" s="36"/>
      <c r="CWU365" s="36"/>
      <c r="CWV365" s="37"/>
      <c r="CWW365" s="37"/>
      <c r="CWX365" s="38"/>
      <c r="CWY365" s="38"/>
      <c r="CWZ365" s="39"/>
      <c r="CXA365" s="34"/>
      <c r="CXB365" s="34"/>
      <c r="CXC365" s="34"/>
      <c r="CXD365" s="35"/>
      <c r="CXE365" s="35"/>
      <c r="CXF365" s="35"/>
      <c r="CXG365" s="35"/>
      <c r="CXH365" s="35"/>
      <c r="CXI365" s="34"/>
      <c r="CXJ365" s="34"/>
      <c r="CXK365" s="36"/>
      <c r="CXL365" s="36"/>
      <c r="CXM365" s="37"/>
      <c r="CXN365" s="37"/>
      <c r="CXO365" s="38"/>
      <c r="CXP365" s="38"/>
      <c r="CXQ365" s="39"/>
      <c r="CXR365" s="34"/>
      <c r="CXS365" s="34"/>
      <c r="CXT365" s="34"/>
      <c r="CXU365" s="35"/>
      <c r="CXV365" s="35"/>
      <c r="CXW365" s="35"/>
      <c r="CXX365" s="35"/>
      <c r="CXY365" s="35"/>
      <c r="CXZ365" s="34"/>
      <c r="CYA365" s="34"/>
      <c r="CYB365" s="36"/>
      <c r="CYC365" s="36"/>
      <c r="CYD365" s="37"/>
      <c r="CYE365" s="37"/>
      <c r="CYF365" s="38"/>
      <c r="CYG365" s="38"/>
      <c r="CYH365" s="39"/>
      <c r="CYI365" s="34"/>
      <c r="CYJ365" s="34"/>
      <c r="CYK365" s="34"/>
      <c r="CYL365" s="35"/>
      <c r="CYM365" s="35"/>
      <c r="CYN365" s="35"/>
      <c r="CYO365" s="35"/>
      <c r="CYP365" s="35"/>
      <c r="CYQ365" s="34"/>
      <c r="CYR365" s="34"/>
      <c r="CYS365" s="36"/>
      <c r="CYT365" s="36"/>
      <c r="CYU365" s="37"/>
      <c r="CYV365" s="37"/>
      <c r="CYW365" s="38"/>
      <c r="CYX365" s="38"/>
      <c r="CYY365" s="39"/>
      <c r="CYZ365" s="34"/>
      <c r="CZA365" s="34"/>
      <c r="CZB365" s="34"/>
      <c r="CZC365" s="35"/>
      <c r="CZD365" s="35"/>
      <c r="CZE365" s="35"/>
      <c r="CZF365" s="35"/>
      <c r="CZG365" s="35"/>
      <c r="CZH365" s="34"/>
      <c r="CZI365" s="34"/>
      <c r="CZJ365" s="36"/>
      <c r="CZK365" s="36"/>
      <c r="CZL365" s="37"/>
      <c r="CZM365" s="37"/>
      <c r="CZN365" s="38"/>
      <c r="CZO365" s="38"/>
      <c r="CZP365" s="39"/>
      <c r="CZQ365" s="34"/>
      <c r="CZR365" s="34"/>
      <c r="CZS365" s="34"/>
      <c r="CZT365" s="35"/>
      <c r="CZU365" s="35"/>
      <c r="CZV365" s="35"/>
      <c r="CZW365" s="35"/>
      <c r="CZX365" s="35"/>
      <c r="CZY365" s="34"/>
      <c r="CZZ365" s="34"/>
      <c r="DAA365" s="36"/>
      <c r="DAB365" s="36"/>
      <c r="DAC365" s="37"/>
      <c r="DAD365" s="37"/>
      <c r="DAE365" s="38"/>
      <c r="DAF365" s="38"/>
      <c r="DAG365" s="39"/>
      <c r="DAH365" s="34"/>
      <c r="DAI365" s="34"/>
      <c r="DAJ365" s="34"/>
      <c r="DAK365" s="35"/>
      <c r="DAL365" s="35"/>
      <c r="DAM365" s="35"/>
      <c r="DAN365" s="35"/>
      <c r="DAO365" s="35"/>
      <c r="DAP365" s="34"/>
      <c r="DAQ365" s="34"/>
      <c r="DAR365" s="36"/>
      <c r="DAS365" s="36"/>
      <c r="DAT365" s="37"/>
      <c r="DAU365" s="37"/>
      <c r="DAV365" s="38"/>
      <c r="DAW365" s="38"/>
      <c r="DAX365" s="39"/>
      <c r="DAY365" s="34"/>
      <c r="DAZ365" s="34"/>
      <c r="DBA365" s="34"/>
      <c r="DBB365" s="35"/>
      <c r="DBC365" s="35"/>
      <c r="DBD365" s="35"/>
      <c r="DBE365" s="35"/>
      <c r="DBF365" s="35"/>
      <c r="DBG365" s="34"/>
      <c r="DBH365" s="34"/>
      <c r="DBI365" s="36"/>
      <c r="DBJ365" s="36"/>
      <c r="DBK365" s="37"/>
      <c r="DBL365" s="37"/>
      <c r="DBM365" s="38"/>
      <c r="DBN365" s="38"/>
      <c r="DBO365" s="39"/>
      <c r="DBP365" s="34"/>
      <c r="DBQ365" s="34"/>
      <c r="DBR365" s="34"/>
      <c r="DBS365" s="35"/>
      <c r="DBT365" s="35"/>
      <c r="DBU365" s="35"/>
      <c r="DBV365" s="35"/>
      <c r="DBW365" s="35"/>
      <c r="DBX365" s="34"/>
      <c r="DBY365" s="34"/>
      <c r="DBZ365" s="36"/>
      <c r="DCA365" s="36"/>
      <c r="DCB365" s="37"/>
      <c r="DCC365" s="37"/>
      <c r="DCD365" s="38"/>
      <c r="DCE365" s="38"/>
      <c r="DCF365" s="39"/>
      <c r="DCG365" s="34"/>
      <c r="DCH365" s="34"/>
      <c r="DCI365" s="34"/>
      <c r="DCJ365" s="35"/>
      <c r="DCK365" s="35"/>
      <c r="DCL365" s="35"/>
      <c r="DCM365" s="35"/>
      <c r="DCN365" s="35"/>
      <c r="DCO365" s="34"/>
      <c r="DCP365" s="34"/>
      <c r="DCQ365" s="36"/>
      <c r="DCR365" s="36"/>
      <c r="DCS365" s="37"/>
      <c r="DCT365" s="37"/>
      <c r="DCU365" s="38"/>
      <c r="DCV365" s="38"/>
      <c r="DCW365" s="39"/>
      <c r="DCX365" s="34"/>
      <c r="DCY365" s="34"/>
      <c r="DCZ365" s="34"/>
      <c r="DDA365" s="35"/>
      <c r="DDB365" s="35"/>
      <c r="DDC365" s="35"/>
      <c r="DDD365" s="35"/>
      <c r="DDE365" s="35"/>
      <c r="DDF365" s="34"/>
      <c r="DDG365" s="34"/>
      <c r="DDH365" s="36"/>
      <c r="DDI365" s="36"/>
      <c r="DDJ365" s="37"/>
      <c r="DDK365" s="37"/>
      <c r="DDL365" s="38"/>
      <c r="DDM365" s="38"/>
      <c r="DDN365" s="39"/>
      <c r="DDO365" s="34"/>
      <c r="DDP365" s="34"/>
      <c r="DDQ365" s="34"/>
      <c r="DDR365" s="35"/>
      <c r="DDS365" s="35"/>
      <c r="DDT365" s="35"/>
      <c r="DDU365" s="35"/>
      <c r="DDV365" s="35"/>
      <c r="DDW365" s="34"/>
      <c r="DDX365" s="34"/>
      <c r="DDY365" s="36"/>
      <c r="DDZ365" s="36"/>
      <c r="DEA365" s="37"/>
      <c r="DEB365" s="37"/>
      <c r="DEC365" s="38"/>
      <c r="DED365" s="38"/>
      <c r="DEE365" s="39"/>
      <c r="DEF365" s="34"/>
      <c r="DEG365" s="34"/>
      <c r="DEH365" s="34"/>
      <c r="DEI365" s="35"/>
      <c r="DEJ365" s="35"/>
      <c r="DEK365" s="35"/>
      <c r="DEL365" s="35"/>
      <c r="DEM365" s="35"/>
      <c r="DEN365" s="34"/>
      <c r="DEO365" s="34"/>
      <c r="DEP365" s="36"/>
      <c r="DEQ365" s="36"/>
      <c r="DER365" s="37"/>
      <c r="DES365" s="37"/>
      <c r="DET365" s="38"/>
      <c r="DEU365" s="38"/>
      <c r="DEV365" s="39"/>
      <c r="DEW365" s="34"/>
      <c r="DEX365" s="34"/>
      <c r="DEY365" s="34"/>
      <c r="DEZ365" s="35"/>
      <c r="DFA365" s="35"/>
      <c r="DFB365" s="35"/>
      <c r="DFC365" s="35"/>
      <c r="DFD365" s="35"/>
      <c r="DFE365" s="34"/>
      <c r="DFF365" s="34"/>
      <c r="DFG365" s="36"/>
      <c r="DFH365" s="36"/>
      <c r="DFI365" s="37"/>
      <c r="DFJ365" s="37"/>
      <c r="DFK365" s="38"/>
      <c r="DFL365" s="38"/>
      <c r="DFM365" s="39"/>
      <c r="DFN365" s="34"/>
      <c r="DFO365" s="34"/>
      <c r="DFP365" s="34"/>
      <c r="DFQ365" s="35"/>
      <c r="DFR365" s="35"/>
      <c r="DFS365" s="35"/>
      <c r="DFT365" s="35"/>
      <c r="DFU365" s="35"/>
      <c r="DFV365" s="34"/>
      <c r="DFW365" s="34"/>
      <c r="DFX365" s="36"/>
      <c r="DFY365" s="36"/>
      <c r="DFZ365" s="37"/>
      <c r="DGA365" s="37"/>
      <c r="DGB365" s="38"/>
      <c r="DGC365" s="38"/>
      <c r="DGD365" s="39"/>
      <c r="DGE365" s="34"/>
      <c r="DGF365" s="34"/>
      <c r="DGG365" s="34"/>
      <c r="DGH365" s="35"/>
      <c r="DGI365" s="35"/>
      <c r="DGJ365" s="35"/>
      <c r="DGK365" s="35"/>
      <c r="DGL365" s="35"/>
      <c r="DGM365" s="34"/>
      <c r="DGN365" s="34"/>
      <c r="DGO365" s="36"/>
      <c r="DGP365" s="36"/>
      <c r="DGQ365" s="37"/>
      <c r="DGR365" s="37"/>
      <c r="DGS365" s="38"/>
      <c r="DGT365" s="38"/>
      <c r="DGU365" s="39"/>
      <c r="DGV365" s="34"/>
      <c r="DGW365" s="34"/>
      <c r="DGX365" s="34"/>
      <c r="DGY365" s="35"/>
      <c r="DGZ365" s="35"/>
      <c r="DHA365" s="35"/>
      <c r="DHB365" s="35"/>
      <c r="DHC365" s="35"/>
      <c r="DHD365" s="34"/>
      <c r="DHE365" s="34"/>
      <c r="DHF365" s="36"/>
      <c r="DHG365" s="36"/>
      <c r="DHH365" s="37"/>
      <c r="DHI365" s="37"/>
      <c r="DHJ365" s="38"/>
      <c r="DHK365" s="38"/>
      <c r="DHL365" s="39"/>
      <c r="DHM365" s="34"/>
      <c r="DHN365" s="34"/>
      <c r="DHO365" s="34"/>
      <c r="DHP365" s="35"/>
      <c r="DHQ365" s="35"/>
      <c r="DHR365" s="35"/>
      <c r="DHS365" s="35"/>
      <c r="DHT365" s="35"/>
      <c r="DHU365" s="34"/>
      <c r="DHV365" s="34"/>
      <c r="DHW365" s="36"/>
      <c r="DHX365" s="36"/>
      <c r="DHY365" s="37"/>
      <c r="DHZ365" s="37"/>
      <c r="DIA365" s="38"/>
      <c r="DIB365" s="38"/>
      <c r="DIC365" s="39"/>
      <c r="DID365" s="34"/>
      <c r="DIE365" s="34"/>
      <c r="DIF365" s="34"/>
      <c r="DIG365" s="35"/>
      <c r="DIH365" s="35"/>
      <c r="DII365" s="35"/>
      <c r="DIJ365" s="35"/>
      <c r="DIK365" s="35"/>
      <c r="DIL365" s="34"/>
      <c r="DIM365" s="34"/>
      <c r="DIN365" s="36"/>
      <c r="DIO365" s="36"/>
      <c r="DIP365" s="37"/>
      <c r="DIQ365" s="37"/>
      <c r="DIR365" s="38"/>
      <c r="DIS365" s="38"/>
      <c r="DIT365" s="39"/>
      <c r="DIU365" s="34"/>
      <c r="DIV365" s="34"/>
      <c r="DIW365" s="34"/>
      <c r="DIX365" s="35"/>
      <c r="DIY365" s="35"/>
      <c r="DIZ365" s="35"/>
      <c r="DJA365" s="35"/>
      <c r="DJB365" s="35"/>
      <c r="DJC365" s="34"/>
      <c r="DJD365" s="34"/>
      <c r="DJE365" s="36"/>
      <c r="DJF365" s="36"/>
      <c r="DJG365" s="37"/>
      <c r="DJH365" s="37"/>
      <c r="DJI365" s="38"/>
      <c r="DJJ365" s="38"/>
      <c r="DJK365" s="39"/>
      <c r="DJL365" s="34"/>
      <c r="DJM365" s="34"/>
      <c r="DJN365" s="34"/>
      <c r="DJO365" s="35"/>
      <c r="DJP365" s="35"/>
      <c r="DJQ365" s="35"/>
      <c r="DJR365" s="35"/>
      <c r="DJS365" s="35"/>
      <c r="DJT365" s="34"/>
      <c r="DJU365" s="34"/>
      <c r="DJV365" s="36"/>
      <c r="DJW365" s="36"/>
      <c r="DJX365" s="37"/>
      <c r="DJY365" s="37"/>
      <c r="DJZ365" s="38"/>
      <c r="DKA365" s="38"/>
      <c r="DKB365" s="39"/>
      <c r="DKC365" s="34"/>
      <c r="DKD365" s="34"/>
      <c r="DKE365" s="34"/>
      <c r="DKF365" s="35"/>
      <c r="DKG365" s="35"/>
      <c r="DKH365" s="35"/>
      <c r="DKI365" s="35"/>
      <c r="DKJ365" s="35"/>
      <c r="DKK365" s="34"/>
      <c r="DKL365" s="34"/>
      <c r="DKM365" s="36"/>
      <c r="DKN365" s="36"/>
      <c r="DKO365" s="37"/>
      <c r="DKP365" s="37"/>
      <c r="DKQ365" s="38"/>
      <c r="DKR365" s="38"/>
      <c r="DKS365" s="39"/>
      <c r="DKT365" s="34"/>
      <c r="DKU365" s="34"/>
      <c r="DKV365" s="34"/>
      <c r="DKW365" s="35"/>
      <c r="DKX365" s="35"/>
      <c r="DKY365" s="35"/>
      <c r="DKZ365" s="35"/>
      <c r="DLA365" s="35"/>
      <c r="DLB365" s="34"/>
      <c r="DLC365" s="34"/>
      <c r="DLD365" s="36"/>
      <c r="DLE365" s="36"/>
      <c r="DLF365" s="37"/>
      <c r="DLG365" s="37"/>
      <c r="DLH365" s="38"/>
      <c r="DLI365" s="38"/>
      <c r="DLJ365" s="39"/>
      <c r="DLK365" s="34"/>
      <c r="DLL365" s="34"/>
      <c r="DLM365" s="34"/>
      <c r="DLN365" s="35"/>
      <c r="DLO365" s="35"/>
      <c r="DLP365" s="35"/>
      <c r="DLQ365" s="35"/>
      <c r="DLR365" s="35"/>
      <c r="DLS365" s="34"/>
      <c r="DLT365" s="34"/>
      <c r="DLU365" s="36"/>
      <c r="DLV365" s="36"/>
      <c r="DLW365" s="37"/>
      <c r="DLX365" s="37"/>
      <c r="DLY365" s="38"/>
      <c r="DLZ365" s="38"/>
      <c r="DMA365" s="39"/>
      <c r="DMB365" s="34"/>
      <c r="DMC365" s="34"/>
      <c r="DMD365" s="34"/>
      <c r="DME365" s="35"/>
      <c r="DMF365" s="35"/>
      <c r="DMG365" s="35"/>
      <c r="DMH365" s="35"/>
      <c r="DMI365" s="35"/>
      <c r="DMJ365" s="34"/>
      <c r="DMK365" s="34"/>
      <c r="DML365" s="36"/>
      <c r="DMM365" s="36"/>
      <c r="DMN365" s="37"/>
      <c r="DMO365" s="37"/>
      <c r="DMP365" s="38"/>
      <c r="DMQ365" s="38"/>
      <c r="DMR365" s="39"/>
      <c r="DMS365" s="34"/>
      <c r="DMT365" s="34"/>
      <c r="DMU365" s="34"/>
      <c r="DMV365" s="35"/>
      <c r="DMW365" s="35"/>
      <c r="DMX365" s="35"/>
      <c r="DMY365" s="35"/>
      <c r="DMZ365" s="35"/>
      <c r="DNA365" s="34"/>
      <c r="DNB365" s="34"/>
      <c r="DNC365" s="36"/>
      <c r="DND365" s="36"/>
      <c r="DNE365" s="37"/>
      <c r="DNF365" s="37"/>
      <c r="DNG365" s="38"/>
      <c r="DNH365" s="38"/>
      <c r="DNI365" s="39"/>
      <c r="DNJ365" s="34"/>
      <c r="DNK365" s="34"/>
      <c r="DNL365" s="34"/>
      <c r="DNM365" s="35"/>
      <c r="DNN365" s="35"/>
      <c r="DNO365" s="35"/>
      <c r="DNP365" s="35"/>
      <c r="DNQ365" s="35"/>
      <c r="DNR365" s="34"/>
      <c r="DNS365" s="34"/>
      <c r="DNT365" s="36"/>
      <c r="DNU365" s="36"/>
      <c r="DNV365" s="37"/>
      <c r="DNW365" s="37"/>
      <c r="DNX365" s="38"/>
      <c r="DNY365" s="38"/>
      <c r="DNZ365" s="39"/>
      <c r="DOA365" s="34"/>
      <c r="DOB365" s="34"/>
      <c r="DOC365" s="34"/>
      <c r="DOD365" s="35"/>
      <c r="DOE365" s="35"/>
      <c r="DOF365" s="35"/>
      <c r="DOG365" s="35"/>
      <c r="DOH365" s="35"/>
      <c r="DOI365" s="34"/>
      <c r="DOJ365" s="34"/>
      <c r="DOK365" s="36"/>
      <c r="DOL365" s="36"/>
      <c r="DOM365" s="37"/>
      <c r="DON365" s="37"/>
      <c r="DOO365" s="38"/>
      <c r="DOP365" s="38"/>
      <c r="DOQ365" s="39"/>
      <c r="DOR365" s="34"/>
      <c r="DOS365" s="34"/>
      <c r="DOT365" s="34"/>
      <c r="DOU365" s="35"/>
      <c r="DOV365" s="35"/>
      <c r="DOW365" s="35"/>
      <c r="DOX365" s="35"/>
      <c r="DOY365" s="35"/>
      <c r="DOZ365" s="34"/>
      <c r="DPA365" s="34"/>
      <c r="DPB365" s="36"/>
      <c r="DPC365" s="36"/>
      <c r="DPD365" s="37"/>
      <c r="DPE365" s="37"/>
      <c r="DPF365" s="38"/>
      <c r="DPG365" s="38"/>
      <c r="DPH365" s="39"/>
      <c r="DPI365" s="34"/>
      <c r="DPJ365" s="34"/>
      <c r="DPK365" s="34"/>
      <c r="DPL365" s="35"/>
      <c r="DPM365" s="35"/>
      <c r="DPN365" s="35"/>
      <c r="DPO365" s="35"/>
      <c r="DPP365" s="35"/>
      <c r="DPQ365" s="34"/>
      <c r="DPR365" s="34"/>
      <c r="DPS365" s="36"/>
      <c r="DPT365" s="36"/>
      <c r="DPU365" s="37"/>
      <c r="DPV365" s="37"/>
      <c r="DPW365" s="38"/>
      <c r="DPX365" s="38"/>
      <c r="DPY365" s="39"/>
      <c r="DPZ365" s="34"/>
      <c r="DQA365" s="34"/>
      <c r="DQB365" s="34"/>
      <c r="DQC365" s="35"/>
      <c r="DQD365" s="35"/>
      <c r="DQE365" s="35"/>
      <c r="DQF365" s="35"/>
      <c r="DQG365" s="35"/>
      <c r="DQH365" s="34"/>
      <c r="DQI365" s="34"/>
      <c r="DQJ365" s="36"/>
      <c r="DQK365" s="36"/>
      <c r="DQL365" s="37"/>
      <c r="DQM365" s="37"/>
      <c r="DQN365" s="38"/>
      <c r="DQO365" s="38"/>
      <c r="DQP365" s="39"/>
      <c r="DQQ365" s="34"/>
      <c r="DQR365" s="34"/>
      <c r="DQS365" s="34"/>
      <c r="DQT365" s="35"/>
      <c r="DQU365" s="35"/>
      <c r="DQV365" s="35"/>
      <c r="DQW365" s="35"/>
      <c r="DQX365" s="35"/>
      <c r="DQY365" s="34"/>
      <c r="DQZ365" s="34"/>
      <c r="DRA365" s="36"/>
      <c r="DRB365" s="36"/>
      <c r="DRC365" s="37"/>
      <c r="DRD365" s="37"/>
      <c r="DRE365" s="38"/>
      <c r="DRF365" s="38"/>
      <c r="DRG365" s="39"/>
      <c r="DRH365" s="34"/>
      <c r="DRI365" s="34"/>
      <c r="DRJ365" s="34"/>
      <c r="DRK365" s="35"/>
      <c r="DRL365" s="35"/>
      <c r="DRM365" s="35"/>
      <c r="DRN365" s="35"/>
      <c r="DRO365" s="35"/>
      <c r="DRP365" s="34"/>
      <c r="DRQ365" s="34"/>
      <c r="DRR365" s="36"/>
      <c r="DRS365" s="36"/>
      <c r="DRT365" s="37"/>
      <c r="DRU365" s="37"/>
      <c r="DRV365" s="38"/>
      <c r="DRW365" s="38"/>
      <c r="DRX365" s="39"/>
      <c r="DRY365" s="34"/>
      <c r="DRZ365" s="34"/>
      <c r="DSA365" s="34"/>
      <c r="DSB365" s="35"/>
      <c r="DSC365" s="35"/>
      <c r="DSD365" s="35"/>
      <c r="DSE365" s="35"/>
      <c r="DSF365" s="35"/>
      <c r="DSG365" s="34"/>
      <c r="DSH365" s="34"/>
      <c r="DSI365" s="36"/>
      <c r="DSJ365" s="36"/>
      <c r="DSK365" s="37"/>
      <c r="DSL365" s="37"/>
      <c r="DSM365" s="38"/>
      <c r="DSN365" s="38"/>
      <c r="DSO365" s="39"/>
      <c r="DSP365" s="34"/>
      <c r="DSQ365" s="34"/>
      <c r="DSR365" s="34"/>
      <c r="DSS365" s="35"/>
      <c r="DST365" s="35"/>
      <c r="DSU365" s="35"/>
      <c r="DSV365" s="35"/>
      <c r="DSW365" s="35"/>
      <c r="DSX365" s="34"/>
      <c r="DSY365" s="34"/>
      <c r="DSZ365" s="36"/>
      <c r="DTA365" s="36"/>
      <c r="DTB365" s="37"/>
      <c r="DTC365" s="37"/>
      <c r="DTD365" s="38"/>
      <c r="DTE365" s="38"/>
      <c r="DTF365" s="39"/>
      <c r="DTG365" s="34"/>
      <c r="DTH365" s="34"/>
      <c r="DTI365" s="34"/>
      <c r="DTJ365" s="35"/>
      <c r="DTK365" s="35"/>
      <c r="DTL365" s="35"/>
      <c r="DTM365" s="35"/>
      <c r="DTN365" s="35"/>
      <c r="DTO365" s="34"/>
      <c r="DTP365" s="34"/>
      <c r="DTQ365" s="36"/>
      <c r="DTR365" s="36"/>
      <c r="DTS365" s="37"/>
      <c r="DTT365" s="37"/>
      <c r="DTU365" s="38"/>
      <c r="DTV365" s="38"/>
      <c r="DTW365" s="39"/>
      <c r="DTX365" s="34"/>
      <c r="DTY365" s="34"/>
      <c r="DTZ365" s="34"/>
      <c r="DUA365" s="35"/>
      <c r="DUB365" s="35"/>
      <c r="DUC365" s="35"/>
      <c r="DUD365" s="35"/>
      <c r="DUE365" s="35"/>
      <c r="DUF365" s="34"/>
      <c r="DUG365" s="34"/>
      <c r="DUH365" s="36"/>
      <c r="DUI365" s="36"/>
      <c r="DUJ365" s="37"/>
      <c r="DUK365" s="37"/>
      <c r="DUL365" s="38"/>
      <c r="DUM365" s="38"/>
      <c r="DUN365" s="39"/>
      <c r="DUO365" s="34"/>
      <c r="DUP365" s="34"/>
      <c r="DUQ365" s="34"/>
      <c r="DUR365" s="35"/>
      <c r="DUS365" s="35"/>
      <c r="DUT365" s="35"/>
      <c r="DUU365" s="35"/>
      <c r="DUV365" s="35"/>
      <c r="DUW365" s="34"/>
      <c r="DUX365" s="34"/>
      <c r="DUY365" s="36"/>
      <c r="DUZ365" s="36"/>
      <c r="DVA365" s="37"/>
      <c r="DVB365" s="37"/>
      <c r="DVC365" s="38"/>
      <c r="DVD365" s="38"/>
      <c r="DVE365" s="39"/>
      <c r="DVF365" s="34"/>
      <c r="DVG365" s="34"/>
      <c r="DVH365" s="34"/>
      <c r="DVI365" s="35"/>
      <c r="DVJ365" s="35"/>
      <c r="DVK365" s="35"/>
      <c r="DVL365" s="35"/>
      <c r="DVM365" s="35"/>
      <c r="DVN365" s="34"/>
      <c r="DVO365" s="34"/>
      <c r="DVP365" s="36"/>
      <c r="DVQ365" s="36"/>
      <c r="DVR365" s="37"/>
      <c r="DVS365" s="37"/>
      <c r="DVT365" s="38"/>
      <c r="DVU365" s="38"/>
      <c r="DVV365" s="39"/>
      <c r="DVW365" s="34"/>
      <c r="DVX365" s="34"/>
      <c r="DVY365" s="34"/>
      <c r="DVZ365" s="35"/>
      <c r="DWA365" s="35"/>
      <c r="DWB365" s="35"/>
      <c r="DWC365" s="35"/>
      <c r="DWD365" s="35"/>
      <c r="DWE365" s="34"/>
      <c r="DWF365" s="34"/>
      <c r="DWG365" s="36"/>
      <c r="DWH365" s="36"/>
      <c r="DWI365" s="37"/>
      <c r="DWJ365" s="37"/>
      <c r="DWK365" s="38"/>
      <c r="DWL365" s="38"/>
      <c r="DWM365" s="39"/>
      <c r="DWN365" s="34"/>
      <c r="DWO365" s="34"/>
      <c r="DWP365" s="34"/>
      <c r="DWQ365" s="35"/>
      <c r="DWR365" s="35"/>
      <c r="DWS365" s="35"/>
      <c r="DWT365" s="35"/>
      <c r="DWU365" s="35"/>
      <c r="DWV365" s="34"/>
      <c r="DWW365" s="34"/>
      <c r="DWX365" s="36"/>
      <c r="DWY365" s="36"/>
      <c r="DWZ365" s="37"/>
      <c r="DXA365" s="37"/>
      <c r="DXB365" s="38"/>
      <c r="DXC365" s="38"/>
      <c r="DXD365" s="39"/>
      <c r="DXE365" s="34"/>
      <c r="DXF365" s="34"/>
      <c r="DXG365" s="34"/>
      <c r="DXH365" s="35"/>
      <c r="DXI365" s="35"/>
      <c r="DXJ365" s="35"/>
      <c r="DXK365" s="35"/>
      <c r="DXL365" s="35"/>
      <c r="DXM365" s="34"/>
      <c r="DXN365" s="34"/>
      <c r="DXO365" s="36"/>
      <c r="DXP365" s="36"/>
      <c r="DXQ365" s="37"/>
      <c r="DXR365" s="37"/>
      <c r="DXS365" s="38"/>
      <c r="DXT365" s="38"/>
      <c r="DXU365" s="39"/>
      <c r="DXV365" s="34"/>
      <c r="DXW365" s="34"/>
      <c r="DXX365" s="34"/>
      <c r="DXY365" s="35"/>
      <c r="DXZ365" s="35"/>
      <c r="DYA365" s="35"/>
      <c r="DYB365" s="35"/>
      <c r="DYC365" s="35"/>
      <c r="DYD365" s="34"/>
      <c r="DYE365" s="34"/>
      <c r="DYF365" s="36"/>
      <c r="DYG365" s="36"/>
      <c r="DYH365" s="37"/>
      <c r="DYI365" s="37"/>
      <c r="DYJ365" s="38"/>
      <c r="DYK365" s="38"/>
      <c r="DYL365" s="39"/>
      <c r="DYM365" s="34"/>
      <c r="DYN365" s="34"/>
      <c r="DYO365" s="34"/>
      <c r="DYP365" s="35"/>
      <c r="DYQ365" s="35"/>
      <c r="DYR365" s="35"/>
      <c r="DYS365" s="35"/>
      <c r="DYT365" s="35"/>
      <c r="DYU365" s="34"/>
      <c r="DYV365" s="34"/>
      <c r="DYW365" s="36"/>
      <c r="DYX365" s="36"/>
      <c r="DYY365" s="37"/>
      <c r="DYZ365" s="37"/>
      <c r="DZA365" s="38"/>
      <c r="DZB365" s="38"/>
      <c r="DZC365" s="39"/>
      <c r="DZD365" s="34"/>
      <c r="DZE365" s="34"/>
      <c r="DZF365" s="34"/>
      <c r="DZG365" s="35"/>
      <c r="DZH365" s="35"/>
      <c r="DZI365" s="35"/>
      <c r="DZJ365" s="35"/>
      <c r="DZK365" s="35"/>
      <c r="DZL365" s="34"/>
      <c r="DZM365" s="34"/>
      <c r="DZN365" s="36"/>
      <c r="DZO365" s="36"/>
      <c r="DZP365" s="37"/>
      <c r="DZQ365" s="37"/>
      <c r="DZR365" s="38"/>
      <c r="DZS365" s="38"/>
      <c r="DZT365" s="39"/>
      <c r="DZU365" s="34"/>
      <c r="DZV365" s="34"/>
      <c r="DZW365" s="34"/>
      <c r="DZX365" s="35"/>
      <c r="DZY365" s="35"/>
      <c r="DZZ365" s="35"/>
      <c r="EAA365" s="35"/>
      <c r="EAB365" s="35"/>
      <c r="EAC365" s="34"/>
      <c r="EAD365" s="34"/>
      <c r="EAE365" s="36"/>
      <c r="EAF365" s="36"/>
      <c r="EAG365" s="37"/>
      <c r="EAH365" s="37"/>
      <c r="EAI365" s="38"/>
      <c r="EAJ365" s="38"/>
      <c r="EAK365" s="39"/>
      <c r="EAL365" s="34"/>
      <c r="EAM365" s="34"/>
      <c r="EAN365" s="34"/>
      <c r="EAO365" s="35"/>
      <c r="EAP365" s="35"/>
      <c r="EAQ365" s="35"/>
      <c r="EAR365" s="35"/>
      <c r="EAS365" s="35"/>
      <c r="EAT365" s="34"/>
      <c r="EAU365" s="34"/>
      <c r="EAV365" s="36"/>
      <c r="EAW365" s="36"/>
      <c r="EAX365" s="37"/>
      <c r="EAY365" s="37"/>
      <c r="EAZ365" s="38"/>
      <c r="EBA365" s="38"/>
      <c r="EBB365" s="39"/>
      <c r="EBC365" s="34"/>
      <c r="EBD365" s="34"/>
      <c r="EBE365" s="34"/>
      <c r="EBF365" s="35"/>
      <c r="EBG365" s="35"/>
      <c r="EBH365" s="35"/>
      <c r="EBI365" s="35"/>
      <c r="EBJ365" s="35"/>
      <c r="EBK365" s="34"/>
      <c r="EBL365" s="34"/>
      <c r="EBM365" s="36"/>
      <c r="EBN365" s="36"/>
      <c r="EBO365" s="37"/>
      <c r="EBP365" s="37"/>
      <c r="EBQ365" s="38"/>
      <c r="EBR365" s="38"/>
      <c r="EBS365" s="39"/>
      <c r="EBT365" s="34"/>
      <c r="EBU365" s="34"/>
      <c r="EBV365" s="34"/>
      <c r="EBW365" s="35"/>
      <c r="EBX365" s="35"/>
      <c r="EBY365" s="35"/>
      <c r="EBZ365" s="35"/>
      <c r="ECA365" s="35"/>
      <c r="ECB365" s="34"/>
      <c r="ECC365" s="34"/>
      <c r="ECD365" s="36"/>
      <c r="ECE365" s="36"/>
      <c r="ECF365" s="37"/>
      <c r="ECG365" s="37"/>
      <c r="ECH365" s="38"/>
      <c r="ECI365" s="38"/>
      <c r="ECJ365" s="39"/>
      <c r="ECK365" s="34"/>
      <c r="ECL365" s="34"/>
      <c r="ECM365" s="34"/>
      <c r="ECN365" s="35"/>
      <c r="ECO365" s="35"/>
      <c r="ECP365" s="35"/>
      <c r="ECQ365" s="35"/>
      <c r="ECR365" s="35"/>
      <c r="ECS365" s="34"/>
      <c r="ECT365" s="34"/>
      <c r="ECU365" s="36"/>
      <c r="ECV365" s="36"/>
      <c r="ECW365" s="37"/>
      <c r="ECX365" s="37"/>
      <c r="ECY365" s="38"/>
      <c r="ECZ365" s="38"/>
      <c r="EDA365" s="39"/>
      <c r="EDB365" s="34"/>
      <c r="EDC365" s="34"/>
      <c r="EDD365" s="34"/>
      <c r="EDE365" s="35"/>
      <c r="EDF365" s="35"/>
      <c r="EDG365" s="35"/>
      <c r="EDH365" s="35"/>
      <c r="EDI365" s="35"/>
      <c r="EDJ365" s="34"/>
      <c r="EDK365" s="34"/>
      <c r="EDL365" s="36"/>
      <c r="EDM365" s="36"/>
      <c r="EDN365" s="37"/>
      <c r="EDO365" s="37"/>
      <c r="EDP365" s="38"/>
      <c r="EDQ365" s="38"/>
      <c r="EDR365" s="39"/>
      <c r="EDS365" s="34"/>
      <c r="EDT365" s="34"/>
      <c r="EDU365" s="34"/>
      <c r="EDV365" s="35"/>
      <c r="EDW365" s="35"/>
      <c r="EDX365" s="35"/>
      <c r="EDY365" s="35"/>
      <c r="EDZ365" s="35"/>
      <c r="EEA365" s="34"/>
      <c r="EEB365" s="34"/>
      <c r="EEC365" s="36"/>
      <c r="EED365" s="36"/>
      <c r="EEE365" s="37"/>
      <c r="EEF365" s="37"/>
      <c r="EEG365" s="38"/>
      <c r="EEH365" s="38"/>
      <c r="EEI365" s="39"/>
      <c r="EEJ365" s="34"/>
      <c r="EEK365" s="34"/>
      <c r="EEL365" s="34"/>
      <c r="EEM365" s="35"/>
      <c r="EEN365" s="35"/>
      <c r="EEO365" s="35"/>
      <c r="EEP365" s="35"/>
      <c r="EEQ365" s="35"/>
      <c r="EER365" s="34"/>
      <c r="EES365" s="34"/>
      <c r="EET365" s="36"/>
      <c r="EEU365" s="36"/>
      <c r="EEV365" s="37"/>
      <c r="EEW365" s="37"/>
      <c r="EEX365" s="38"/>
      <c r="EEY365" s="38"/>
      <c r="EEZ365" s="39"/>
      <c r="EFA365" s="34"/>
      <c r="EFB365" s="34"/>
      <c r="EFC365" s="34"/>
      <c r="EFD365" s="35"/>
      <c r="EFE365" s="35"/>
      <c r="EFF365" s="35"/>
      <c r="EFG365" s="35"/>
      <c r="EFH365" s="35"/>
      <c r="EFI365" s="34"/>
      <c r="EFJ365" s="34"/>
      <c r="EFK365" s="36"/>
      <c r="EFL365" s="36"/>
      <c r="EFM365" s="37"/>
      <c r="EFN365" s="37"/>
      <c r="EFO365" s="38"/>
      <c r="EFP365" s="38"/>
      <c r="EFQ365" s="39"/>
      <c r="EFR365" s="34"/>
      <c r="EFS365" s="34"/>
      <c r="EFT365" s="34"/>
      <c r="EFU365" s="35"/>
      <c r="EFV365" s="35"/>
      <c r="EFW365" s="35"/>
      <c r="EFX365" s="35"/>
      <c r="EFY365" s="35"/>
      <c r="EFZ365" s="34"/>
      <c r="EGA365" s="34"/>
      <c r="EGB365" s="36"/>
      <c r="EGC365" s="36"/>
      <c r="EGD365" s="37"/>
      <c r="EGE365" s="37"/>
      <c r="EGF365" s="38"/>
      <c r="EGG365" s="38"/>
      <c r="EGH365" s="39"/>
      <c r="EGI365" s="34"/>
      <c r="EGJ365" s="34"/>
      <c r="EGK365" s="34"/>
      <c r="EGL365" s="35"/>
      <c r="EGM365" s="35"/>
      <c r="EGN365" s="35"/>
      <c r="EGO365" s="35"/>
      <c r="EGP365" s="35"/>
      <c r="EGQ365" s="34"/>
      <c r="EGR365" s="34"/>
      <c r="EGS365" s="36"/>
      <c r="EGT365" s="36"/>
      <c r="EGU365" s="37"/>
      <c r="EGV365" s="37"/>
      <c r="EGW365" s="38"/>
      <c r="EGX365" s="38"/>
      <c r="EGY365" s="39"/>
      <c r="EGZ365" s="34"/>
      <c r="EHA365" s="34"/>
      <c r="EHB365" s="34"/>
      <c r="EHC365" s="35"/>
      <c r="EHD365" s="35"/>
      <c r="EHE365" s="35"/>
      <c r="EHF365" s="35"/>
      <c r="EHG365" s="35"/>
      <c r="EHH365" s="34"/>
      <c r="EHI365" s="34"/>
      <c r="EHJ365" s="36"/>
      <c r="EHK365" s="36"/>
      <c r="EHL365" s="37"/>
      <c r="EHM365" s="37"/>
      <c r="EHN365" s="38"/>
      <c r="EHO365" s="38"/>
      <c r="EHP365" s="39"/>
      <c r="EHQ365" s="34"/>
      <c r="EHR365" s="34"/>
      <c r="EHS365" s="34"/>
      <c r="EHT365" s="35"/>
      <c r="EHU365" s="35"/>
      <c r="EHV365" s="35"/>
      <c r="EHW365" s="35"/>
      <c r="EHX365" s="35"/>
      <c r="EHY365" s="34"/>
      <c r="EHZ365" s="34"/>
      <c r="EIA365" s="36"/>
      <c r="EIB365" s="36"/>
      <c r="EIC365" s="37"/>
      <c r="EID365" s="37"/>
      <c r="EIE365" s="38"/>
      <c r="EIF365" s="38"/>
      <c r="EIG365" s="39"/>
      <c r="EIH365" s="34"/>
      <c r="EII365" s="34"/>
      <c r="EIJ365" s="34"/>
      <c r="EIK365" s="35"/>
      <c r="EIL365" s="35"/>
      <c r="EIM365" s="35"/>
      <c r="EIN365" s="35"/>
      <c r="EIO365" s="35"/>
      <c r="EIP365" s="34"/>
      <c r="EIQ365" s="34"/>
      <c r="EIR365" s="36"/>
      <c r="EIS365" s="36"/>
      <c r="EIT365" s="37"/>
      <c r="EIU365" s="37"/>
      <c r="EIV365" s="38"/>
      <c r="EIW365" s="38"/>
      <c r="EIX365" s="39"/>
      <c r="EIY365" s="34"/>
      <c r="EIZ365" s="34"/>
      <c r="EJA365" s="34"/>
      <c r="EJB365" s="35"/>
      <c r="EJC365" s="35"/>
      <c r="EJD365" s="35"/>
      <c r="EJE365" s="35"/>
      <c r="EJF365" s="35"/>
      <c r="EJG365" s="34"/>
      <c r="EJH365" s="34"/>
      <c r="EJI365" s="36"/>
      <c r="EJJ365" s="36"/>
      <c r="EJK365" s="37"/>
      <c r="EJL365" s="37"/>
      <c r="EJM365" s="38"/>
      <c r="EJN365" s="38"/>
      <c r="EJO365" s="39"/>
      <c r="EJP365" s="34"/>
      <c r="EJQ365" s="34"/>
      <c r="EJR365" s="34"/>
      <c r="EJS365" s="35"/>
      <c r="EJT365" s="35"/>
      <c r="EJU365" s="35"/>
      <c r="EJV365" s="35"/>
      <c r="EJW365" s="35"/>
      <c r="EJX365" s="34"/>
      <c r="EJY365" s="34"/>
      <c r="EJZ365" s="36"/>
      <c r="EKA365" s="36"/>
      <c r="EKB365" s="37"/>
      <c r="EKC365" s="37"/>
      <c r="EKD365" s="38"/>
      <c r="EKE365" s="38"/>
      <c r="EKF365" s="39"/>
      <c r="EKG365" s="34"/>
      <c r="EKH365" s="34"/>
      <c r="EKI365" s="34"/>
      <c r="EKJ365" s="35"/>
      <c r="EKK365" s="35"/>
      <c r="EKL365" s="35"/>
      <c r="EKM365" s="35"/>
      <c r="EKN365" s="35"/>
      <c r="EKO365" s="34"/>
      <c r="EKP365" s="34"/>
      <c r="EKQ365" s="36"/>
      <c r="EKR365" s="36"/>
      <c r="EKS365" s="37"/>
      <c r="EKT365" s="37"/>
      <c r="EKU365" s="38"/>
      <c r="EKV365" s="38"/>
      <c r="EKW365" s="39"/>
      <c r="EKX365" s="34"/>
      <c r="EKY365" s="34"/>
      <c r="EKZ365" s="34"/>
      <c r="ELA365" s="35"/>
      <c r="ELB365" s="35"/>
      <c r="ELC365" s="35"/>
      <c r="ELD365" s="35"/>
      <c r="ELE365" s="35"/>
      <c r="ELF365" s="34"/>
      <c r="ELG365" s="34"/>
      <c r="ELH365" s="36"/>
      <c r="ELI365" s="36"/>
      <c r="ELJ365" s="37"/>
      <c r="ELK365" s="37"/>
      <c r="ELL365" s="38"/>
      <c r="ELM365" s="38"/>
      <c r="ELN365" s="39"/>
      <c r="ELO365" s="34"/>
      <c r="ELP365" s="34"/>
      <c r="ELQ365" s="34"/>
      <c r="ELR365" s="35"/>
      <c r="ELS365" s="35"/>
      <c r="ELT365" s="35"/>
      <c r="ELU365" s="35"/>
      <c r="ELV365" s="35"/>
      <c r="ELW365" s="34"/>
      <c r="ELX365" s="34"/>
      <c r="ELY365" s="36"/>
      <c r="ELZ365" s="36"/>
      <c r="EMA365" s="37"/>
      <c r="EMB365" s="37"/>
      <c r="EMC365" s="38"/>
      <c r="EMD365" s="38"/>
      <c r="EME365" s="39"/>
      <c r="EMF365" s="34"/>
      <c r="EMG365" s="34"/>
      <c r="EMH365" s="34"/>
      <c r="EMI365" s="35"/>
      <c r="EMJ365" s="35"/>
      <c r="EMK365" s="35"/>
      <c r="EML365" s="35"/>
      <c r="EMM365" s="35"/>
      <c r="EMN365" s="34"/>
      <c r="EMO365" s="34"/>
      <c r="EMP365" s="36"/>
      <c r="EMQ365" s="36"/>
      <c r="EMR365" s="37"/>
      <c r="EMS365" s="37"/>
      <c r="EMT365" s="38"/>
      <c r="EMU365" s="38"/>
      <c r="EMV365" s="39"/>
      <c r="EMW365" s="34"/>
      <c r="EMX365" s="34"/>
      <c r="EMY365" s="34"/>
      <c r="EMZ365" s="35"/>
      <c r="ENA365" s="35"/>
      <c r="ENB365" s="35"/>
      <c r="ENC365" s="35"/>
      <c r="END365" s="35"/>
      <c r="ENE365" s="34"/>
      <c r="ENF365" s="34"/>
      <c r="ENG365" s="36"/>
      <c r="ENH365" s="36"/>
      <c r="ENI365" s="37"/>
      <c r="ENJ365" s="37"/>
      <c r="ENK365" s="38"/>
      <c r="ENL365" s="38"/>
      <c r="ENM365" s="39"/>
      <c r="ENN365" s="34"/>
      <c r="ENO365" s="34"/>
      <c r="ENP365" s="34"/>
      <c r="ENQ365" s="35"/>
      <c r="ENR365" s="35"/>
      <c r="ENS365" s="35"/>
      <c r="ENT365" s="35"/>
      <c r="ENU365" s="35"/>
      <c r="ENV365" s="34"/>
      <c r="ENW365" s="34"/>
      <c r="ENX365" s="36"/>
      <c r="ENY365" s="36"/>
      <c r="ENZ365" s="37"/>
      <c r="EOA365" s="37"/>
      <c r="EOB365" s="38"/>
      <c r="EOC365" s="38"/>
      <c r="EOD365" s="39"/>
      <c r="EOE365" s="34"/>
      <c r="EOF365" s="34"/>
      <c r="EOG365" s="34"/>
      <c r="EOH365" s="35"/>
      <c r="EOI365" s="35"/>
      <c r="EOJ365" s="35"/>
      <c r="EOK365" s="35"/>
      <c r="EOL365" s="35"/>
      <c r="EOM365" s="34"/>
      <c r="EON365" s="34"/>
      <c r="EOO365" s="36"/>
      <c r="EOP365" s="36"/>
      <c r="EOQ365" s="37"/>
      <c r="EOR365" s="37"/>
      <c r="EOS365" s="38"/>
      <c r="EOT365" s="38"/>
      <c r="EOU365" s="39"/>
      <c r="EOV365" s="34"/>
      <c r="EOW365" s="34"/>
      <c r="EOX365" s="34"/>
      <c r="EOY365" s="35"/>
      <c r="EOZ365" s="35"/>
      <c r="EPA365" s="35"/>
      <c r="EPB365" s="35"/>
      <c r="EPC365" s="35"/>
      <c r="EPD365" s="34"/>
      <c r="EPE365" s="34"/>
      <c r="EPF365" s="36"/>
      <c r="EPG365" s="36"/>
      <c r="EPH365" s="37"/>
      <c r="EPI365" s="37"/>
      <c r="EPJ365" s="38"/>
      <c r="EPK365" s="38"/>
      <c r="EPL365" s="39"/>
      <c r="EPM365" s="34"/>
      <c r="EPN365" s="34"/>
      <c r="EPO365" s="34"/>
      <c r="EPP365" s="35"/>
      <c r="EPQ365" s="35"/>
      <c r="EPR365" s="35"/>
      <c r="EPS365" s="35"/>
      <c r="EPT365" s="35"/>
      <c r="EPU365" s="34"/>
      <c r="EPV365" s="34"/>
      <c r="EPW365" s="36"/>
      <c r="EPX365" s="36"/>
      <c r="EPY365" s="37"/>
      <c r="EPZ365" s="37"/>
      <c r="EQA365" s="38"/>
      <c r="EQB365" s="38"/>
      <c r="EQC365" s="39"/>
      <c r="EQD365" s="34"/>
      <c r="EQE365" s="34"/>
      <c r="EQF365" s="34"/>
      <c r="EQG365" s="35"/>
      <c r="EQH365" s="35"/>
      <c r="EQI365" s="35"/>
      <c r="EQJ365" s="35"/>
      <c r="EQK365" s="35"/>
      <c r="EQL365" s="34"/>
      <c r="EQM365" s="34"/>
      <c r="EQN365" s="36"/>
      <c r="EQO365" s="36"/>
      <c r="EQP365" s="37"/>
      <c r="EQQ365" s="37"/>
      <c r="EQR365" s="38"/>
      <c r="EQS365" s="38"/>
      <c r="EQT365" s="39"/>
      <c r="EQU365" s="34"/>
      <c r="EQV365" s="34"/>
      <c r="EQW365" s="34"/>
      <c r="EQX365" s="35"/>
      <c r="EQY365" s="35"/>
      <c r="EQZ365" s="35"/>
      <c r="ERA365" s="35"/>
      <c r="ERB365" s="35"/>
      <c r="ERC365" s="34"/>
      <c r="ERD365" s="34"/>
      <c r="ERE365" s="36"/>
      <c r="ERF365" s="36"/>
      <c r="ERG365" s="37"/>
      <c r="ERH365" s="37"/>
      <c r="ERI365" s="38"/>
      <c r="ERJ365" s="38"/>
      <c r="ERK365" s="39"/>
      <c r="ERL365" s="34"/>
      <c r="ERM365" s="34"/>
      <c r="ERN365" s="34"/>
      <c r="ERO365" s="35"/>
      <c r="ERP365" s="35"/>
      <c r="ERQ365" s="35"/>
      <c r="ERR365" s="35"/>
      <c r="ERS365" s="35"/>
      <c r="ERT365" s="34"/>
      <c r="ERU365" s="34"/>
      <c r="ERV365" s="36"/>
      <c r="ERW365" s="36"/>
      <c r="ERX365" s="37"/>
      <c r="ERY365" s="37"/>
      <c r="ERZ365" s="38"/>
      <c r="ESA365" s="38"/>
      <c r="ESB365" s="39"/>
      <c r="ESC365" s="34"/>
      <c r="ESD365" s="34"/>
      <c r="ESE365" s="34"/>
      <c r="ESF365" s="35"/>
      <c r="ESG365" s="35"/>
      <c r="ESH365" s="35"/>
      <c r="ESI365" s="35"/>
      <c r="ESJ365" s="35"/>
      <c r="ESK365" s="34"/>
      <c r="ESL365" s="34"/>
      <c r="ESM365" s="36"/>
      <c r="ESN365" s="36"/>
      <c r="ESO365" s="37"/>
      <c r="ESP365" s="37"/>
      <c r="ESQ365" s="38"/>
      <c r="ESR365" s="38"/>
      <c r="ESS365" s="39"/>
      <c r="EST365" s="34"/>
      <c r="ESU365" s="34"/>
      <c r="ESV365" s="34"/>
      <c r="ESW365" s="35"/>
      <c r="ESX365" s="35"/>
      <c r="ESY365" s="35"/>
      <c r="ESZ365" s="35"/>
      <c r="ETA365" s="35"/>
      <c r="ETB365" s="34"/>
      <c r="ETC365" s="34"/>
      <c r="ETD365" s="36"/>
      <c r="ETE365" s="36"/>
      <c r="ETF365" s="37"/>
      <c r="ETG365" s="37"/>
      <c r="ETH365" s="38"/>
      <c r="ETI365" s="38"/>
      <c r="ETJ365" s="39"/>
      <c r="ETK365" s="34"/>
      <c r="ETL365" s="34"/>
      <c r="ETM365" s="34"/>
      <c r="ETN365" s="35"/>
      <c r="ETO365" s="35"/>
      <c r="ETP365" s="35"/>
      <c r="ETQ365" s="35"/>
      <c r="ETR365" s="35"/>
      <c r="ETS365" s="34"/>
      <c r="ETT365" s="34"/>
      <c r="ETU365" s="36"/>
      <c r="ETV365" s="36"/>
      <c r="ETW365" s="37"/>
      <c r="ETX365" s="37"/>
      <c r="ETY365" s="38"/>
      <c r="ETZ365" s="38"/>
      <c r="EUA365" s="39"/>
      <c r="EUB365" s="34"/>
      <c r="EUC365" s="34"/>
      <c r="EUD365" s="34"/>
      <c r="EUE365" s="35"/>
      <c r="EUF365" s="35"/>
      <c r="EUG365" s="35"/>
      <c r="EUH365" s="35"/>
      <c r="EUI365" s="35"/>
      <c r="EUJ365" s="34"/>
      <c r="EUK365" s="34"/>
      <c r="EUL365" s="36"/>
      <c r="EUM365" s="36"/>
      <c r="EUN365" s="37"/>
      <c r="EUO365" s="37"/>
      <c r="EUP365" s="38"/>
      <c r="EUQ365" s="38"/>
      <c r="EUR365" s="39"/>
      <c r="EUS365" s="34"/>
      <c r="EUT365" s="34"/>
      <c r="EUU365" s="34"/>
      <c r="EUV365" s="35"/>
      <c r="EUW365" s="35"/>
      <c r="EUX365" s="35"/>
      <c r="EUY365" s="35"/>
      <c r="EUZ365" s="35"/>
      <c r="EVA365" s="34"/>
      <c r="EVB365" s="34"/>
      <c r="EVC365" s="36"/>
      <c r="EVD365" s="36"/>
      <c r="EVE365" s="37"/>
      <c r="EVF365" s="37"/>
      <c r="EVG365" s="38"/>
      <c r="EVH365" s="38"/>
      <c r="EVI365" s="39"/>
      <c r="EVJ365" s="34"/>
      <c r="EVK365" s="34"/>
      <c r="EVL365" s="34"/>
      <c r="EVM365" s="35"/>
      <c r="EVN365" s="35"/>
      <c r="EVO365" s="35"/>
      <c r="EVP365" s="35"/>
      <c r="EVQ365" s="35"/>
      <c r="EVR365" s="34"/>
      <c r="EVS365" s="34"/>
      <c r="EVT365" s="36"/>
      <c r="EVU365" s="36"/>
      <c r="EVV365" s="37"/>
      <c r="EVW365" s="37"/>
      <c r="EVX365" s="38"/>
      <c r="EVY365" s="38"/>
      <c r="EVZ365" s="39"/>
      <c r="EWA365" s="34"/>
      <c r="EWB365" s="34"/>
      <c r="EWC365" s="34"/>
      <c r="EWD365" s="35"/>
      <c r="EWE365" s="35"/>
      <c r="EWF365" s="35"/>
      <c r="EWG365" s="35"/>
      <c r="EWH365" s="35"/>
      <c r="EWI365" s="34"/>
      <c r="EWJ365" s="34"/>
      <c r="EWK365" s="36"/>
      <c r="EWL365" s="36"/>
      <c r="EWM365" s="37"/>
      <c r="EWN365" s="37"/>
      <c r="EWO365" s="38"/>
      <c r="EWP365" s="38"/>
      <c r="EWQ365" s="39"/>
      <c r="EWR365" s="34"/>
      <c r="EWS365" s="34"/>
      <c r="EWT365" s="34"/>
      <c r="EWU365" s="35"/>
      <c r="EWV365" s="35"/>
      <c r="EWW365" s="35"/>
      <c r="EWX365" s="35"/>
      <c r="EWY365" s="35"/>
      <c r="EWZ365" s="34"/>
      <c r="EXA365" s="34"/>
      <c r="EXB365" s="36"/>
      <c r="EXC365" s="36"/>
      <c r="EXD365" s="37"/>
      <c r="EXE365" s="37"/>
      <c r="EXF365" s="38"/>
      <c r="EXG365" s="38"/>
      <c r="EXH365" s="39"/>
      <c r="EXI365" s="34"/>
      <c r="EXJ365" s="34"/>
      <c r="EXK365" s="34"/>
      <c r="EXL365" s="35"/>
      <c r="EXM365" s="35"/>
      <c r="EXN365" s="35"/>
      <c r="EXO365" s="35"/>
      <c r="EXP365" s="35"/>
      <c r="EXQ365" s="34"/>
      <c r="EXR365" s="34"/>
      <c r="EXS365" s="36"/>
      <c r="EXT365" s="36"/>
      <c r="EXU365" s="37"/>
      <c r="EXV365" s="37"/>
      <c r="EXW365" s="38"/>
      <c r="EXX365" s="38"/>
      <c r="EXY365" s="39"/>
      <c r="EXZ365" s="34"/>
      <c r="EYA365" s="34"/>
      <c r="EYB365" s="34"/>
      <c r="EYC365" s="35"/>
      <c r="EYD365" s="35"/>
      <c r="EYE365" s="35"/>
      <c r="EYF365" s="35"/>
      <c r="EYG365" s="35"/>
      <c r="EYH365" s="34"/>
      <c r="EYI365" s="34"/>
      <c r="EYJ365" s="36"/>
      <c r="EYK365" s="36"/>
      <c r="EYL365" s="37"/>
      <c r="EYM365" s="37"/>
      <c r="EYN365" s="38"/>
      <c r="EYO365" s="38"/>
      <c r="EYP365" s="39"/>
      <c r="EYQ365" s="34"/>
      <c r="EYR365" s="34"/>
      <c r="EYS365" s="34"/>
      <c r="EYT365" s="35"/>
      <c r="EYU365" s="35"/>
      <c r="EYV365" s="35"/>
      <c r="EYW365" s="35"/>
      <c r="EYX365" s="35"/>
      <c r="EYY365" s="34"/>
      <c r="EYZ365" s="34"/>
      <c r="EZA365" s="36"/>
      <c r="EZB365" s="36"/>
      <c r="EZC365" s="37"/>
      <c r="EZD365" s="37"/>
      <c r="EZE365" s="38"/>
      <c r="EZF365" s="38"/>
      <c r="EZG365" s="39"/>
      <c r="EZH365" s="34"/>
      <c r="EZI365" s="34"/>
      <c r="EZJ365" s="34"/>
      <c r="EZK365" s="35"/>
      <c r="EZL365" s="35"/>
      <c r="EZM365" s="35"/>
      <c r="EZN365" s="35"/>
      <c r="EZO365" s="35"/>
      <c r="EZP365" s="34"/>
      <c r="EZQ365" s="34"/>
      <c r="EZR365" s="36"/>
      <c r="EZS365" s="36"/>
      <c r="EZT365" s="37"/>
      <c r="EZU365" s="37"/>
      <c r="EZV365" s="38"/>
      <c r="EZW365" s="38"/>
      <c r="EZX365" s="39"/>
      <c r="EZY365" s="34"/>
      <c r="EZZ365" s="34"/>
      <c r="FAA365" s="34"/>
      <c r="FAB365" s="35"/>
      <c r="FAC365" s="35"/>
      <c r="FAD365" s="35"/>
      <c r="FAE365" s="35"/>
      <c r="FAF365" s="35"/>
      <c r="FAG365" s="34"/>
      <c r="FAH365" s="34"/>
      <c r="FAI365" s="36"/>
      <c r="FAJ365" s="36"/>
      <c r="FAK365" s="37"/>
      <c r="FAL365" s="37"/>
      <c r="FAM365" s="38"/>
      <c r="FAN365" s="38"/>
      <c r="FAO365" s="39"/>
      <c r="FAP365" s="34"/>
      <c r="FAQ365" s="34"/>
      <c r="FAR365" s="34"/>
      <c r="FAS365" s="35"/>
      <c r="FAT365" s="35"/>
      <c r="FAU365" s="35"/>
      <c r="FAV365" s="35"/>
      <c r="FAW365" s="35"/>
      <c r="FAX365" s="34"/>
      <c r="FAY365" s="34"/>
      <c r="FAZ365" s="36"/>
      <c r="FBA365" s="36"/>
      <c r="FBB365" s="37"/>
      <c r="FBC365" s="37"/>
      <c r="FBD365" s="38"/>
      <c r="FBE365" s="38"/>
      <c r="FBF365" s="39"/>
      <c r="FBG365" s="34"/>
      <c r="FBH365" s="34"/>
      <c r="FBI365" s="34"/>
      <c r="FBJ365" s="35"/>
      <c r="FBK365" s="35"/>
      <c r="FBL365" s="35"/>
      <c r="FBM365" s="35"/>
      <c r="FBN365" s="35"/>
      <c r="FBO365" s="34"/>
      <c r="FBP365" s="34"/>
      <c r="FBQ365" s="36"/>
      <c r="FBR365" s="36"/>
      <c r="FBS365" s="37"/>
      <c r="FBT365" s="37"/>
      <c r="FBU365" s="38"/>
      <c r="FBV365" s="38"/>
      <c r="FBW365" s="39"/>
      <c r="FBX365" s="34"/>
      <c r="FBY365" s="34"/>
      <c r="FBZ365" s="34"/>
      <c r="FCA365" s="35"/>
      <c r="FCB365" s="35"/>
      <c r="FCC365" s="35"/>
      <c r="FCD365" s="35"/>
      <c r="FCE365" s="35"/>
      <c r="FCF365" s="34"/>
      <c r="FCG365" s="34"/>
      <c r="FCH365" s="36"/>
      <c r="FCI365" s="36"/>
      <c r="FCJ365" s="37"/>
      <c r="FCK365" s="37"/>
      <c r="FCL365" s="38"/>
      <c r="FCM365" s="38"/>
      <c r="FCN365" s="39"/>
      <c r="FCO365" s="34"/>
      <c r="FCP365" s="34"/>
      <c r="FCQ365" s="34"/>
      <c r="FCR365" s="35"/>
      <c r="FCS365" s="35"/>
      <c r="FCT365" s="35"/>
      <c r="FCU365" s="35"/>
      <c r="FCV365" s="35"/>
      <c r="FCW365" s="34"/>
      <c r="FCX365" s="34"/>
      <c r="FCY365" s="36"/>
      <c r="FCZ365" s="36"/>
      <c r="FDA365" s="37"/>
      <c r="FDB365" s="37"/>
      <c r="FDC365" s="38"/>
      <c r="FDD365" s="38"/>
      <c r="FDE365" s="39"/>
      <c r="FDF365" s="34"/>
      <c r="FDG365" s="34"/>
      <c r="FDH365" s="34"/>
      <c r="FDI365" s="35"/>
      <c r="FDJ365" s="35"/>
      <c r="FDK365" s="35"/>
      <c r="FDL365" s="35"/>
      <c r="FDM365" s="35"/>
      <c r="FDN365" s="34"/>
      <c r="FDO365" s="34"/>
      <c r="FDP365" s="36"/>
      <c r="FDQ365" s="36"/>
      <c r="FDR365" s="37"/>
      <c r="FDS365" s="37"/>
      <c r="FDT365" s="38"/>
      <c r="FDU365" s="38"/>
      <c r="FDV365" s="39"/>
      <c r="FDW365" s="34"/>
      <c r="FDX365" s="34"/>
      <c r="FDY365" s="34"/>
      <c r="FDZ365" s="35"/>
      <c r="FEA365" s="35"/>
      <c r="FEB365" s="35"/>
      <c r="FEC365" s="35"/>
      <c r="FED365" s="35"/>
      <c r="FEE365" s="34"/>
      <c r="FEF365" s="34"/>
      <c r="FEG365" s="36"/>
      <c r="FEH365" s="36"/>
      <c r="FEI365" s="37"/>
      <c r="FEJ365" s="37"/>
      <c r="FEK365" s="38"/>
      <c r="FEL365" s="38"/>
      <c r="FEM365" s="39"/>
      <c r="FEN365" s="34"/>
      <c r="FEO365" s="34"/>
      <c r="FEP365" s="34"/>
      <c r="FEQ365" s="35"/>
      <c r="FER365" s="35"/>
      <c r="FES365" s="35"/>
      <c r="FET365" s="35"/>
      <c r="FEU365" s="35"/>
      <c r="FEV365" s="34"/>
      <c r="FEW365" s="34"/>
      <c r="FEX365" s="36"/>
      <c r="FEY365" s="36"/>
      <c r="FEZ365" s="37"/>
      <c r="FFA365" s="37"/>
      <c r="FFB365" s="38"/>
      <c r="FFC365" s="38"/>
      <c r="FFD365" s="39"/>
      <c r="FFE365" s="34"/>
      <c r="FFF365" s="34"/>
      <c r="FFG365" s="34"/>
      <c r="FFH365" s="35"/>
      <c r="FFI365" s="35"/>
      <c r="FFJ365" s="35"/>
      <c r="FFK365" s="35"/>
      <c r="FFL365" s="35"/>
      <c r="FFM365" s="34"/>
      <c r="FFN365" s="34"/>
      <c r="FFO365" s="36"/>
      <c r="FFP365" s="36"/>
      <c r="FFQ365" s="37"/>
      <c r="FFR365" s="37"/>
      <c r="FFS365" s="38"/>
      <c r="FFT365" s="38"/>
      <c r="FFU365" s="39"/>
      <c r="FFV365" s="34"/>
      <c r="FFW365" s="34"/>
      <c r="FFX365" s="34"/>
      <c r="FFY365" s="35"/>
      <c r="FFZ365" s="35"/>
      <c r="FGA365" s="35"/>
      <c r="FGB365" s="35"/>
      <c r="FGC365" s="35"/>
      <c r="FGD365" s="34"/>
      <c r="FGE365" s="34"/>
      <c r="FGF365" s="36"/>
      <c r="FGG365" s="36"/>
      <c r="FGH365" s="37"/>
      <c r="FGI365" s="37"/>
      <c r="FGJ365" s="38"/>
      <c r="FGK365" s="38"/>
      <c r="FGL365" s="39"/>
      <c r="FGM365" s="34"/>
      <c r="FGN365" s="34"/>
      <c r="FGO365" s="34"/>
      <c r="FGP365" s="35"/>
      <c r="FGQ365" s="35"/>
      <c r="FGR365" s="35"/>
      <c r="FGS365" s="35"/>
      <c r="FGT365" s="35"/>
      <c r="FGU365" s="34"/>
      <c r="FGV365" s="34"/>
      <c r="FGW365" s="36"/>
      <c r="FGX365" s="36"/>
      <c r="FGY365" s="37"/>
      <c r="FGZ365" s="37"/>
      <c r="FHA365" s="38"/>
      <c r="FHB365" s="38"/>
      <c r="FHC365" s="39"/>
      <c r="FHD365" s="34"/>
      <c r="FHE365" s="34"/>
      <c r="FHF365" s="34"/>
      <c r="FHG365" s="35"/>
      <c r="FHH365" s="35"/>
      <c r="FHI365" s="35"/>
      <c r="FHJ365" s="35"/>
      <c r="FHK365" s="35"/>
      <c r="FHL365" s="34"/>
      <c r="FHM365" s="34"/>
      <c r="FHN365" s="36"/>
      <c r="FHO365" s="36"/>
      <c r="FHP365" s="37"/>
      <c r="FHQ365" s="37"/>
      <c r="FHR365" s="38"/>
      <c r="FHS365" s="38"/>
      <c r="FHT365" s="39"/>
      <c r="FHU365" s="34"/>
      <c r="FHV365" s="34"/>
      <c r="FHW365" s="34"/>
      <c r="FHX365" s="35"/>
      <c r="FHY365" s="35"/>
      <c r="FHZ365" s="35"/>
      <c r="FIA365" s="35"/>
      <c r="FIB365" s="35"/>
      <c r="FIC365" s="34"/>
      <c r="FID365" s="34"/>
      <c r="FIE365" s="36"/>
      <c r="FIF365" s="36"/>
      <c r="FIG365" s="37"/>
      <c r="FIH365" s="37"/>
      <c r="FII365" s="38"/>
      <c r="FIJ365" s="38"/>
      <c r="FIK365" s="39"/>
      <c r="FIL365" s="34"/>
      <c r="FIM365" s="34"/>
      <c r="FIN365" s="34"/>
      <c r="FIO365" s="35"/>
      <c r="FIP365" s="35"/>
      <c r="FIQ365" s="35"/>
      <c r="FIR365" s="35"/>
      <c r="FIS365" s="35"/>
      <c r="FIT365" s="34"/>
      <c r="FIU365" s="34"/>
      <c r="FIV365" s="36"/>
      <c r="FIW365" s="36"/>
      <c r="FIX365" s="37"/>
      <c r="FIY365" s="37"/>
      <c r="FIZ365" s="38"/>
      <c r="FJA365" s="38"/>
      <c r="FJB365" s="39"/>
      <c r="FJC365" s="34"/>
      <c r="FJD365" s="34"/>
      <c r="FJE365" s="34"/>
      <c r="FJF365" s="35"/>
      <c r="FJG365" s="35"/>
      <c r="FJH365" s="35"/>
      <c r="FJI365" s="35"/>
      <c r="FJJ365" s="35"/>
      <c r="FJK365" s="34"/>
      <c r="FJL365" s="34"/>
      <c r="FJM365" s="36"/>
      <c r="FJN365" s="36"/>
      <c r="FJO365" s="37"/>
      <c r="FJP365" s="37"/>
      <c r="FJQ365" s="38"/>
      <c r="FJR365" s="38"/>
      <c r="FJS365" s="39"/>
      <c r="FJT365" s="34"/>
      <c r="FJU365" s="34"/>
      <c r="FJV365" s="34"/>
      <c r="FJW365" s="35"/>
      <c r="FJX365" s="35"/>
      <c r="FJY365" s="35"/>
      <c r="FJZ365" s="35"/>
      <c r="FKA365" s="35"/>
      <c r="FKB365" s="34"/>
      <c r="FKC365" s="34"/>
      <c r="FKD365" s="36"/>
      <c r="FKE365" s="36"/>
      <c r="FKF365" s="37"/>
      <c r="FKG365" s="37"/>
      <c r="FKH365" s="38"/>
      <c r="FKI365" s="38"/>
      <c r="FKJ365" s="39"/>
      <c r="FKK365" s="34"/>
      <c r="FKL365" s="34"/>
      <c r="FKM365" s="34"/>
      <c r="FKN365" s="35"/>
      <c r="FKO365" s="35"/>
      <c r="FKP365" s="35"/>
      <c r="FKQ365" s="35"/>
      <c r="FKR365" s="35"/>
      <c r="FKS365" s="34"/>
      <c r="FKT365" s="34"/>
      <c r="FKU365" s="36"/>
      <c r="FKV365" s="36"/>
      <c r="FKW365" s="37"/>
      <c r="FKX365" s="37"/>
      <c r="FKY365" s="38"/>
      <c r="FKZ365" s="38"/>
      <c r="FLA365" s="39"/>
      <c r="FLB365" s="34"/>
      <c r="FLC365" s="34"/>
      <c r="FLD365" s="34"/>
      <c r="FLE365" s="35"/>
      <c r="FLF365" s="35"/>
      <c r="FLG365" s="35"/>
      <c r="FLH365" s="35"/>
      <c r="FLI365" s="35"/>
      <c r="FLJ365" s="34"/>
      <c r="FLK365" s="34"/>
      <c r="FLL365" s="36"/>
      <c r="FLM365" s="36"/>
      <c r="FLN365" s="37"/>
      <c r="FLO365" s="37"/>
      <c r="FLP365" s="38"/>
      <c r="FLQ365" s="38"/>
      <c r="FLR365" s="39"/>
      <c r="FLS365" s="34"/>
      <c r="FLT365" s="34"/>
      <c r="FLU365" s="34"/>
      <c r="FLV365" s="35"/>
      <c r="FLW365" s="35"/>
      <c r="FLX365" s="35"/>
      <c r="FLY365" s="35"/>
      <c r="FLZ365" s="35"/>
      <c r="FMA365" s="34"/>
      <c r="FMB365" s="34"/>
      <c r="FMC365" s="36"/>
      <c r="FMD365" s="36"/>
      <c r="FME365" s="37"/>
      <c r="FMF365" s="37"/>
      <c r="FMG365" s="38"/>
      <c r="FMH365" s="38"/>
      <c r="FMI365" s="39"/>
      <c r="FMJ365" s="34"/>
      <c r="FMK365" s="34"/>
      <c r="FML365" s="34"/>
      <c r="FMM365" s="35"/>
      <c r="FMN365" s="35"/>
      <c r="FMO365" s="35"/>
      <c r="FMP365" s="35"/>
      <c r="FMQ365" s="35"/>
      <c r="FMR365" s="34"/>
      <c r="FMS365" s="34"/>
      <c r="FMT365" s="36"/>
      <c r="FMU365" s="36"/>
      <c r="FMV365" s="37"/>
      <c r="FMW365" s="37"/>
      <c r="FMX365" s="38"/>
      <c r="FMY365" s="38"/>
      <c r="FMZ365" s="39"/>
      <c r="FNA365" s="34"/>
      <c r="FNB365" s="34"/>
      <c r="FNC365" s="34"/>
      <c r="FND365" s="35"/>
      <c r="FNE365" s="35"/>
      <c r="FNF365" s="35"/>
      <c r="FNG365" s="35"/>
      <c r="FNH365" s="35"/>
      <c r="FNI365" s="34"/>
      <c r="FNJ365" s="34"/>
      <c r="FNK365" s="36"/>
      <c r="FNL365" s="36"/>
      <c r="FNM365" s="37"/>
      <c r="FNN365" s="37"/>
      <c r="FNO365" s="38"/>
      <c r="FNP365" s="38"/>
      <c r="FNQ365" s="39"/>
      <c r="FNR365" s="34"/>
      <c r="FNS365" s="34"/>
      <c r="FNT365" s="34"/>
      <c r="FNU365" s="35"/>
      <c r="FNV365" s="35"/>
      <c r="FNW365" s="35"/>
      <c r="FNX365" s="35"/>
      <c r="FNY365" s="35"/>
      <c r="FNZ365" s="34"/>
      <c r="FOA365" s="34"/>
      <c r="FOB365" s="36"/>
      <c r="FOC365" s="36"/>
      <c r="FOD365" s="37"/>
      <c r="FOE365" s="37"/>
      <c r="FOF365" s="38"/>
      <c r="FOG365" s="38"/>
      <c r="FOH365" s="39"/>
      <c r="FOI365" s="34"/>
      <c r="FOJ365" s="34"/>
      <c r="FOK365" s="34"/>
      <c r="FOL365" s="35"/>
      <c r="FOM365" s="35"/>
      <c r="FON365" s="35"/>
      <c r="FOO365" s="35"/>
      <c r="FOP365" s="35"/>
      <c r="FOQ365" s="34"/>
      <c r="FOR365" s="34"/>
      <c r="FOS365" s="36"/>
      <c r="FOT365" s="36"/>
      <c r="FOU365" s="37"/>
      <c r="FOV365" s="37"/>
      <c r="FOW365" s="38"/>
      <c r="FOX365" s="38"/>
      <c r="FOY365" s="39"/>
      <c r="FOZ365" s="34"/>
      <c r="FPA365" s="34"/>
      <c r="FPB365" s="34"/>
      <c r="FPC365" s="35"/>
      <c r="FPD365" s="35"/>
      <c r="FPE365" s="35"/>
      <c r="FPF365" s="35"/>
      <c r="FPG365" s="35"/>
      <c r="FPH365" s="34"/>
      <c r="FPI365" s="34"/>
      <c r="FPJ365" s="36"/>
      <c r="FPK365" s="36"/>
      <c r="FPL365" s="37"/>
      <c r="FPM365" s="37"/>
      <c r="FPN365" s="38"/>
      <c r="FPO365" s="38"/>
      <c r="FPP365" s="39"/>
      <c r="FPQ365" s="34"/>
      <c r="FPR365" s="34"/>
      <c r="FPS365" s="34"/>
      <c r="FPT365" s="35"/>
      <c r="FPU365" s="35"/>
      <c r="FPV365" s="35"/>
      <c r="FPW365" s="35"/>
      <c r="FPX365" s="35"/>
      <c r="FPY365" s="34"/>
      <c r="FPZ365" s="34"/>
      <c r="FQA365" s="36"/>
      <c r="FQB365" s="36"/>
      <c r="FQC365" s="37"/>
      <c r="FQD365" s="37"/>
      <c r="FQE365" s="38"/>
      <c r="FQF365" s="38"/>
      <c r="FQG365" s="39"/>
      <c r="FQH365" s="34"/>
      <c r="FQI365" s="34"/>
      <c r="FQJ365" s="34"/>
      <c r="FQK365" s="35"/>
      <c r="FQL365" s="35"/>
      <c r="FQM365" s="35"/>
      <c r="FQN365" s="35"/>
      <c r="FQO365" s="35"/>
      <c r="FQP365" s="34"/>
      <c r="FQQ365" s="34"/>
      <c r="FQR365" s="36"/>
      <c r="FQS365" s="36"/>
      <c r="FQT365" s="37"/>
      <c r="FQU365" s="37"/>
      <c r="FQV365" s="38"/>
      <c r="FQW365" s="38"/>
      <c r="FQX365" s="39"/>
      <c r="FQY365" s="34"/>
      <c r="FQZ365" s="34"/>
      <c r="FRA365" s="34"/>
      <c r="FRB365" s="35"/>
      <c r="FRC365" s="35"/>
      <c r="FRD365" s="35"/>
      <c r="FRE365" s="35"/>
      <c r="FRF365" s="35"/>
      <c r="FRG365" s="34"/>
      <c r="FRH365" s="34"/>
      <c r="FRI365" s="36"/>
      <c r="FRJ365" s="36"/>
      <c r="FRK365" s="37"/>
      <c r="FRL365" s="37"/>
      <c r="FRM365" s="38"/>
      <c r="FRN365" s="38"/>
      <c r="FRO365" s="39"/>
      <c r="FRP365" s="34"/>
      <c r="FRQ365" s="34"/>
      <c r="FRR365" s="34"/>
      <c r="FRS365" s="35"/>
      <c r="FRT365" s="35"/>
      <c r="FRU365" s="35"/>
      <c r="FRV365" s="35"/>
      <c r="FRW365" s="35"/>
      <c r="FRX365" s="34"/>
      <c r="FRY365" s="34"/>
      <c r="FRZ365" s="36"/>
      <c r="FSA365" s="36"/>
      <c r="FSB365" s="37"/>
      <c r="FSC365" s="37"/>
      <c r="FSD365" s="38"/>
      <c r="FSE365" s="38"/>
      <c r="FSF365" s="39"/>
      <c r="FSG365" s="34"/>
      <c r="FSH365" s="34"/>
      <c r="FSI365" s="34"/>
      <c r="FSJ365" s="35"/>
      <c r="FSK365" s="35"/>
      <c r="FSL365" s="35"/>
      <c r="FSM365" s="35"/>
      <c r="FSN365" s="35"/>
      <c r="FSO365" s="34"/>
      <c r="FSP365" s="34"/>
      <c r="FSQ365" s="36"/>
      <c r="FSR365" s="36"/>
      <c r="FSS365" s="37"/>
      <c r="FST365" s="37"/>
      <c r="FSU365" s="38"/>
      <c r="FSV365" s="38"/>
      <c r="FSW365" s="39"/>
      <c r="FSX365" s="34"/>
      <c r="FSY365" s="34"/>
      <c r="FSZ365" s="34"/>
      <c r="FTA365" s="35"/>
      <c r="FTB365" s="35"/>
      <c r="FTC365" s="35"/>
      <c r="FTD365" s="35"/>
      <c r="FTE365" s="35"/>
      <c r="FTF365" s="34"/>
      <c r="FTG365" s="34"/>
      <c r="FTH365" s="36"/>
      <c r="FTI365" s="36"/>
      <c r="FTJ365" s="37"/>
      <c r="FTK365" s="37"/>
      <c r="FTL365" s="38"/>
      <c r="FTM365" s="38"/>
      <c r="FTN365" s="39"/>
      <c r="FTO365" s="34"/>
      <c r="FTP365" s="34"/>
      <c r="FTQ365" s="34"/>
      <c r="FTR365" s="35"/>
      <c r="FTS365" s="35"/>
      <c r="FTT365" s="35"/>
      <c r="FTU365" s="35"/>
      <c r="FTV365" s="35"/>
      <c r="FTW365" s="34"/>
      <c r="FTX365" s="34"/>
      <c r="FTY365" s="36"/>
      <c r="FTZ365" s="36"/>
      <c r="FUA365" s="37"/>
      <c r="FUB365" s="37"/>
      <c r="FUC365" s="38"/>
      <c r="FUD365" s="38"/>
      <c r="FUE365" s="39"/>
      <c r="FUF365" s="34"/>
      <c r="FUG365" s="34"/>
      <c r="FUH365" s="34"/>
      <c r="FUI365" s="35"/>
      <c r="FUJ365" s="35"/>
      <c r="FUK365" s="35"/>
      <c r="FUL365" s="35"/>
      <c r="FUM365" s="35"/>
      <c r="FUN365" s="34"/>
      <c r="FUO365" s="34"/>
      <c r="FUP365" s="36"/>
      <c r="FUQ365" s="36"/>
      <c r="FUR365" s="37"/>
      <c r="FUS365" s="37"/>
      <c r="FUT365" s="38"/>
      <c r="FUU365" s="38"/>
      <c r="FUV365" s="39"/>
      <c r="FUW365" s="34"/>
      <c r="FUX365" s="34"/>
      <c r="FUY365" s="34"/>
      <c r="FUZ365" s="35"/>
      <c r="FVA365" s="35"/>
      <c r="FVB365" s="35"/>
      <c r="FVC365" s="35"/>
      <c r="FVD365" s="35"/>
      <c r="FVE365" s="34"/>
      <c r="FVF365" s="34"/>
      <c r="FVG365" s="36"/>
      <c r="FVH365" s="36"/>
      <c r="FVI365" s="37"/>
      <c r="FVJ365" s="37"/>
      <c r="FVK365" s="38"/>
      <c r="FVL365" s="38"/>
      <c r="FVM365" s="39"/>
      <c r="FVN365" s="34"/>
      <c r="FVO365" s="34"/>
      <c r="FVP365" s="34"/>
      <c r="FVQ365" s="35"/>
      <c r="FVR365" s="35"/>
      <c r="FVS365" s="35"/>
      <c r="FVT365" s="35"/>
      <c r="FVU365" s="35"/>
      <c r="FVV365" s="34"/>
      <c r="FVW365" s="34"/>
      <c r="FVX365" s="36"/>
      <c r="FVY365" s="36"/>
      <c r="FVZ365" s="37"/>
      <c r="FWA365" s="37"/>
      <c r="FWB365" s="38"/>
      <c r="FWC365" s="38"/>
      <c r="FWD365" s="39"/>
      <c r="FWE365" s="34"/>
      <c r="FWF365" s="34"/>
      <c r="FWG365" s="34"/>
      <c r="FWH365" s="35"/>
      <c r="FWI365" s="35"/>
      <c r="FWJ365" s="35"/>
      <c r="FWK365" s="35"/>
      <c r="FWL365" s="35"/>
      <c r="FWM365" s="34"/>
      <c r="FWN365" s="34"/>
      <c r="FWO365" s="36"/>
      <c r="FWP365" s="36"/>
      <c r="FWQ365" s="37"/>
      <c r="FWR365" s="37"/>
      <c r="FWS365" s="38"/>
      <c r="FWT365" s="38"/>
      <c r="FWU365" s="39"/>
      <c r="FWV365" s="34"/>
      <c r="FWW365" s="34"/>
      <c r="FWX365" s="34"/>
      <c r="FWY365" s="35"/>
      <c r="FWZ365" s="35"/>
      <c r="FXA365" s="35"/>
      <c r="FXB365" s="35"/>
      <c r="FXC365" s="35"/>
      <c r="FXD365" s="34"/>
      <c r="FXE365" s="34"/>
      <c r="FXF365" s="36"/>
      <c r="FXG365" s="36"/>
      <c r="FXH365" s="37"/>
      <c r="FXI365" s="37"/>
      <c r="FXJ365" s="38"/>
      <c r="FXK365" s="38"/>
      <c r="FXL365" s="39"/>
      <c r="FXM365" s="34"/>
      <c r="FXN365" s="34"/>
      <c r="FXO365" s="34"/>
      <c r="FXP365" s="35"/>
      <c r="FXQ365" s="35"/>
      <c r="FXR365" s="35"/>
      <c r="FXS365" s="35"/>
      <c r="FXT365" s="35"/>
      <c r="FXU365" s="34"/>
      <c r="FXV365" s="34"/>
      <c r="FXW365" s="36"/>
      <c r="FXX365" s="36"/>
      <c r="FXY365" s="37"/>
      <c r="FXZ365" s="37"/>
      <c r="FYA365" s="38"/>
      <c r="FYB365" s="38"/>
      <c r="FYC365" s="39"/>
      <c r="FYD365" s="34"/>
      <c r="FYE365" s="34"/>
      <c r="FYF365" s="34"/>
      <c r="FYG365" s="35"/>
      <c r="FYH365" s="35"/>
      <c r="FYI365" s="35"/>
      <c r="FYJ365" s="35"/>
      <c r="FYK365" s="35"/>
      <c r="FYL365" s="34"/>
      <c r="FYM365" s="34"/>
      <c r="FYN365" s="36"/>
      <c r="FYO365" s="36"/>
      <c r="FYP365" s="37"/>
      <c r="FYQ365" s="37"/>
      <c r="FYR365" s="38"/>
      <c r="FYS365" s="38"/>
      <c r="FYT365" s="39"/>
      <c r="FYU365" s="34"/>
      <c r="FYV365" s="34"/>
      <c r="FYW365" s="34"/>
      <c r="FYX365" s="35"/>
      <c r="FYY365" s="35"/>
      <c r="FYZ365" s="35"/>
      <c r="FZA365" s="35"/>
      <c r="FZB365" s="35"/>
      <c r="FZC365" s="34"/>
      <c r="FZD365" s="34"/>
      <c r="FZE365" s="36"/>
      <c r="FZF365" s="36"/>
      <c r="FZG365" s="37"/>
      <c r="FZH365" s="37"/>
      <c r="FZI365" s="38"/>
      <c r="FZJ365" s="38"/>
      <c r="FZK365" s="39"/>
      <c r="FZL365" s="34"/>
      <c r="FZM365" s="34"/>
      <c r="FZN365" s="34"/>
      <c r="FZO365" s="35"/>
      <c r="FZP365" s="35"/>
      <c r="FZQ365" s="35"/>
      <c r="FZR365" s="35"/>
      <c r="FZS365" s="35"/>
      <c r="FZT365" s="34"/>
      <c r="FZU365" s="34"/>
      <c r="FZV365" s="36"/>
      <c r="FZW365" s="36"/>
      <c r="FZX365" s="37"/>
      <c r="FZY365" s="37"/>
      <c r="FZZ365" s="38"/>
      <c r="GAA365" s="38"/>
      <c r="GAB365" s="39"/>
      <c r="GAC365" s="34"/>
      <c r="GAD365" s="34"/>
      <c r="GAE365" s="34"/>
      <c r="GAF365" s="35"/>
      <c r="GAG365" s="35"/>
      <c r="GAH365" s="35"/>
      <c r="GAI365" s="35"/>
      <c r="GAJ365" s="35"/>
      <c r="GAK365" s="34"/>
      <c r="GAL365" s="34"/>
      <c r="GAM365" s="36"/>
      <c r="GAN365" s="36"/>
      <c r="GAO365" s="37"/>
      <c r="GAP365" s="37"/>
      <c r="GAQ365" s="38"/>
      <c r="GAR365" s="38"/>
      <c r="GAS365" s="39"/>
      <c r="GAT365" s="34"/>
      <c r="GAU365" s="34"/>
      <c r="GAV365" s="34"/>
      <c r="GAW365" s="35"/>
      <c r="GAX365" s="35"/>
      <c r="GAY365" s="35"/>
      <c r="GAZ365" s="35"/>
      <c r="GBA365" s="35"/>
      <c r="GBB365" s="34"/>
      <c r="GBC365" s="34"/>
      <c r="GBD365" s="36"/>
      <c r="GBE365" s="36"/>
      <c r="GBF365" s="37"/>
      <c r="GBG365" s="37"/>
      <c r="GBH365" s="38"/>
      <c r="GBI365" s="38"/>
      <c r="GBJ365" s="39"/>
      <c r="GBK365" s="34"/>
      <c r="GBL365" s="34"/>
      <c r="GBM365" s="34"/>
      <c r="GBN365" s="35"/>
      <c r="GBO365" s="35"/>
      <c r="GBP365" s="35"/>
      <c r="GBQ365" s="35"/>
      <c r="GBR365" s="35"/>
      <c r="GBS365" s="34"/>
      <c r="GBT365" s="34"/>
      <c r="GBU365" s="36"/>
      <c r="GBV365" s="36"/>
      <c r="GBW365" s="37"/>
      <c r="GBX365" s="37"/>
      <c r="GBY365" s="38"/>
      <c r="GBZ365" s="38"/>
      <c r="GCA365" s="39"/>
      <c r="GCB365" s="34"/>
      <c r="GCC365" s="34"/>
      <c r="GCD365" s="34"/>
      <c r="GCE365" s="35"/>
      <c r="GCF365" s="35"/>
      <c r="GCG365" s="35"/>
      <c r="GCH365" s="35"/>
      <c r="GCI365" s="35"/>
      <c r="GCJ365" s="34"/>
      <c r="GCK365" s="34"/>
      <c r="GCL365" s="36"/>
      <c r="GCM365" s="36"/>
      <c r="GCN365" s="37"/>
      <c r="GCO365" s="37"/>
      <c r="GCP365" s="38"/>
      <c r="GCQ365" s="38"/>
      <c r="GCR365" s="39"/>
      <c r="GCS365" s="34"/>
      <c r="GCT365" s="34"/>
      <c r="GCU365" s="34"/>
      <c r="GCV365" s="35"/>
      <c r="GCW365" s="35"/>
      <c r="GCX365" s="35"/>
      <c r="GCY365" s="35"/>
      <c r="GCZ365" s="35"/>
      <c r="GDA365" s="34"/>
      <c r="GDB365" s="34"/>
      <c r="GDC365" s="36"/>
      <c r="GDD365" s="36"/>
      <c r="GDE365" s="37"/>
      <c r="GDF365" s="37"/>
      <c r="GDG365" s="38"/>
      <c r="GDH365" s="38"/>
      <c r="GDI365" s="39"/>
      <c r="GDJ365" s="34"/>
      <c r="GDK365" s="34"/>
      <c r="GDL365" s="34"/>
      <c r="GDM365" s="35"/>
      <c r="GDN365" s="35"/>
      <c r="GDO365" s="35"/>
      <c r="GDP365" s="35"/>
      <c r="GDQ365" s="35"/>
      <c r="GDR365" s="34"/>
      <c r="GDS365" s="34"/>
      <c r="GDT365" s="36"/>
      <c r="GDU365" s="36"/>
      <c r="GDV365" s="37"/>
      <c r="GDW365" s="37"/>
      <c r="GDX365" s="38"/>
      <c r="GDY365" s="38"/>
      <c r="GDZ365" s="39"/>
      <c r="GEA365" s="34"/>
      <c r="GEB365" s="34"/>
      <c r="GEC365" s="34"/>
      <c r="GED365" s="35"/>
      <c r="GEE365" s="35"/>
      <c r="GEF365" s="35"/>
      <c r="GEG365" s="35"/>
      <c r="GEH365" s="35"/>
      <c r="GEI365" s="34"/>
      <c r="GEJ365" s="34"/>
      <c r="GEK365" s="36"/>
      <c r="GEL365" s="36"/>
      <c r="GEM365" s="37"/>
      <c r="GEN365" s="37"/>
      <c r="GEO365" s="38"/>
      <c r="GEP365" s="38"/>
      <c r="GEQ365" s="39"/>
      <c r="GER365" s="34"/>
      <c r="GES365" s="34"/>
      <c r="GET365" s="34"/>
      <c r="GEU365" s="35"/>
      <c r="GEV365" s="35"/>
      <c r="GEW365" s="35"/>
      <c r="GEX365" s="35"/>
      <c r="GEY365" s="35"/>
      <c r="GEZ365" s="34"/>
      <c r="GFA365" s="34"/>
      <c r="GFB365" s="36"/>
      <c r="GFC365" s="36"/>
      <c r="GFD365" s="37"/>
      <c r="GFE365" s="37"/>
      <c r="GFF365" s="38"/>
      <c r="GFG365" s="38"/>
      <c r="GFH365" s="39"/>
      <c r="GFI365" s="34"/>
      <c r="GFJ365" s="34"/>
      <c r="GFK365" s="34"/>
      <c r="GFL365" s="35"/>
      <c r="GFM365" s="35"/>
      <c r="GFN365" s="35"/>
      <c r="GFO365" s="35"/>
      <c r="GFP365" s="35"/>
      <c r="GFQ365" s="34"/>
      <c r="GFR365" s="34"/>
      <c r="GFS365" s="36"/>
      <c r="GFT365" s="36"/>
      <c r="GFU365" s="37"/>
      <c r="GFV365" s="37"/>
      <c r="GFW365" s="38"/>
      <c r="GFX365" s="38"/>
      <c r="GFY365" s="39"/>
      <c r="GFZ365" s="34"/>
      <c r="GGA365" s="34"/>
      <c r="GGB365" s="34"/>
      <c r="GGC365" s="35"/>
      <c r="GGD365" s="35"/>
      <c r="GGE365" s="35"/>
      <c r="GGF365" s="35"/>
      <c r="GGG365" s="35"/>
      <c r="GGH365" s="34"/>
      <c r="GGI365" s="34"/>
      <c r="GGJ365" s="36"/>
      <c r="GGK365" s="36"/>
      <c r="GGL365" s="37"/>
      <c r="GGM365" s="37"/>
      <c r="GGN365" s="38"/>
      <c r="GGO365" s="38"/>
      <c r="GGP365" s="39"/>
      <c r="GGQ365" s="34"/>
      <c r="GGR365" s="34"/>
      <c r="GGS365" s="34"/>
      <c r="GGT365" s="35"/>
      <c r="GGU365" s="35"/>
      <c r="GGV365" s="35"/>
      <c r="GGW365" s="35"/>
      <c r="GGX365" s="35"/>
      <c r="GGY365" s="34"/>
      <c r="GGZ365" s="34"/>
      <c r="GHA365" s="36"/>
      <c r="GHB365" s="36"/>
      <c r="GHC365" s="37"/>
      <c r="GHD365" s="37"/>
      <c r="GHE365" s="38"/>
      <c r="GHF365" s="38"/>
      <c r="GHG365" s="39"/>
      <c r="GHH365" s="34"/>
      <c r="GHI365" s="34"/>
      <c r="GHJ365" s="34"/>
      <c r="GHK365" s="35"/>
      <c r="GHL365" s="35"/>
      <c r="GHM365" s="35"/>
      <c r="GHN365" s="35"/>
      <c r="GHO365" s="35"/>
      <c r="GHP365" s="34"/>
      <c r="GHQ365" s="34"/>
      <c r="GHR365" s="36"/>
      <c r="GHS365" s="36"/>
      <c r="GHT365" s="37"/>
      <c r="GHU365" s="37"/>
      <c r="GHV365" s="38"/>
      <c r="GHW365" s="38"/>
      <c r="GHX365" s="39"/>
      <c r="GHY365" s="34"/>
      <c r="GHZ365" s="34"/>
      <c r="GIA365" s="34"/>
      <c r="GIB365" s="35"/>
      <c r="GIC365" s="35"/>
      <c r="GID365" s="35"/>
      <c r="GIE365" s="35"/>
      <c r="GIF365" s="35"/>
      <c r="GIG365" s="34"/>
      <c r="GIH365" s="34"/>
      <c r="GII365" s="36"/>
      <c r="GIJ365" s="36"/>
      <c r="GIK365" s="37"/>
      <c r="GIL365" s="37"/>
      <c r="GIM365" s="38"/>
      <c r="GIN365" s="38"/>
      <c r="GIO365" s="39"/>
      <c r="GIP365" s="34"/>
      <c r="GIQ365" s="34"/>
      <c r="GIR365" s="34"/>
      <c r="GIS365" s="35"/>
      <c r="GIT365" s="35"/>
      <c r="GIU365" s="35"/>
      <c r="GIV365" s="35"/>
      <c r="GIW365" s="35"/>
      <c r="GIX365" s="34"/>
      <c r="GIY365" s="34"/>
      <c r="GIZ365" s="36"/>
      <c r="GJA365" s="36"/>
      <c r="GJB365" s="37"/>
      <c r="GJC365" s="37"/>
      <c r="GJD365" s="38"/>
      <c r="GJE365" s="38"/>
      <c r="GJF365" s="39"/>
      <c r="GJG365" s="34"/>
      <c r="GJH365" s="34"/>
      <c r="GJI365" s="34"/>
      <c r="GJJ365" s="35"/>
      <c r="GJK365" s="35"/>
      <c r="GJL365" s="35"/>
      <c r="GJM365" s="35"/>
      <c r="GJN365" s="35"/>
      <c r="GJO365" s="34"/>
      <c r="GJP365" s="34"/>
      <c r="GJQ365" s="36"/>
      <c r="GJR365" s="36"/>
      <c r="GJS365" s="37"/>
      <c r="GJT365" s="37"/>
      <c r="GJU365" s="38"/>
      <c r="GJV365" s="38"/>
      <c r="GJW365" s="39"/>
      <c r="GJX365" s="34"/>
      <c r="GJY365" s="34"/>
      <c r="GJZ365" s="34"/>
      <c r="GKA365" s="35"/>
      <c r="GKB365" s="35"/>
      <c r="GKC365" s="35"/>
      <c r="GKD365" s="35"/>
      <c r="GKE365" s="35"/>
      <c r="GKF365" s="34"/>
      <c r="GKG365" s="34"/>
      <c r="GKH365" s="36"/>
      <c r="GKI365" s="36"/>
      <c r="GKJ365" s="37"/>
      <c r="GKK365" s="37"/>
      <c r="GKL365" s="38"/>
      <c r="GKM365" s="38"/>
      <c r="GKN365" s="39"/>
      <c r="GKO365" s="34"/>
      <c r="GKP365" s="34"/>
      <c r="GKQ365" s="34"/>
      <c r="GKR365" s="35"/>
      <c r="GKS365" s="35"/>
      <c r="GKT365" s="35"/>
      <c r="GKU365" s="35"/>
      <c r="GKV365" s="35"/>
      <c r="GKW365" s="34"/>
      <c r="GKX365" s="34"/>
      <c r="GKY365" s="36"/>
      <c r="GKZ365" s="36"/>
      <c r="GLA365" s="37"/>
      <c r="GLB365" s="37"/>
      <c r="GLC365" s="38"/>
      <c r="GLD365" s="38"/>
      <c r="GLE365" s="39"/>
      <c r="GLF365" s="34"/>
      <c r="GLG365" s="34"/>
      <c r="GLH365" s="34"/>
      <c r="GLI365" s="35"/>
      <c r="GLJ365" s="35"/>
      <c r="GLK365" s="35"/>
      <c r="GLL365" s="35"/>
      <c r="GLM365" s="35"/>
      <c r="GLN365" s="34"/>
      <c r="GLO365" s="34"/>
      <c r="GLP365" s="36"/>
      <c r="GLQ365" s="36"/>
      <c r="GLR365" s="37"/>
      <c r="GLS365" s="37"/>
      <c r="GLT365" s="38"/>
      <c r="GLU365" s="38"/>
      <c r="GLV365" s="39"/>
      <c r="GLW365" s="34"/>
      <c r="GLX365" s="34"/>
      <c r="GLY365" s="34"/>
      <c r="GLZ365" s="35"/>
      <c r="GMA365" s="35"/>
      <c r="GMB365" s="35"/>
      <c r="GMC365" s="35"/>
      <c r="GMD365" s="35"/>
      <c r="GME365" s="34"/>
      <c r="GMF365" s="34"/>
      <c r="GMG365" s="36"/>
      <c r="GMH365" s="36"/>
      <c r="GMI365" s="37"/>
      <c r="GMJ365" s="37"/>
      <c r="GMK365" s="38"/>
      <c r="GML365" s="38"/>
      <c r="GMM365" s="39"/>
      <c r="GMN365" s="34"/>
      <c r="GMO365" s="34"/>
      <c r="GMP365" s="34"/>
      <c r="GMQ365" s="35"/>
      <c r="GMR365" s="35"/>
      <c r="GMS365" s="35"/>
      <c r="GMT365" s="35"/>
      <c r="GMU365" s="35"/>
      <c r="GMV365" s="34"/>
      <c r="GMW365" s="34"/>
      <c r="GMX365" s="36"/>
      <c r="GMY365" s="36"/>
      <c r="GMZ365" s="37"/>
      <c r="GNA365" s="37"/>
      <c r="GNB365" s="38"/>
      <c r="GNC365" s="38"/>
      <c r="GND365" s="39"/>
      <c r="GNE365" s="34"/>
      <c r="GNF365" s="34"/>
      <c r="GNG365" s="34"/>
      <c r="GNH365" s="35"/>
      <c r="GNI365" s="35"/>
      <c r="GNJ365" s="35"/>
      <c r="GNK365" s="35"/>
      <c r="GNL365" s="35"/>
      <c r="GNM365" s="34"/>
      <c r="GNN365" s="34"/>
      <c r="GNO365" s="36"/>
      <c r="GNP365" s="36"/>
      <c r="GNQ365" s="37"/>
      <c r="GNR365" s="37"/>
      <c r="GNS365" s="38"/>
      <c r="GNT365" s="38"/>
      <c r="GNU365" s="39"/>
      <c r="GNV365" s="34"/>
      <c r="GNW365" s="34"/>
      <c r="GNX365" s="34"/>
      <c r="GNY365" s="35"/>
      <c r="GNZ365" s="35"/>
      <c r="GOA365" s="35"/>
      <c r="GOB365" s="35"/>
      <c r="GOC365" s="35"/>
      <c r="GOD365" s="34"/>
      <c r="GOE365" s="34"/>
      <c r="GOF365" s="36"/>
      <c r="GOG365" s="36"/>
      <c r="GOH365" s="37"/>
      <c r="GOI365" s="37"/>
      <c r="GOJ365" s="38"/>
      <c r="GOK365" s="38"/>
      <c r="GOL365" s="39"/>
      <c r="GOM365" s="34"/>
      <c r="GON365" s="34"/>
      <c r="GOO365" s="34"/>
      <c r="GOP365" s="35"/>
      <c r="GOQ365" s="35"/>
      <c r="GOR365" s="35"/>
      <c r="GOS365" s="35"/>
      <c r="GOT365" s="35"/>
      <c r="GOU365" s="34"/>
      <c r="GOV365" s="34"/>
      <c r="GOW365" s="36"/>
      <c r="GOX365" s="36"/>
      <c r="GOY365" s="37"/>
      <c r="GOZ365" s="37"/>
      <c r="GPA365" s="38"/>
      <c r="GPB365" s="38"/>
      <c r="GPC365" s="39"/>
      <c r="GPD365" s="34"/>
      <c r="GPE365" s="34"/>
      <c r="GPF365" s="34"/>
      <c r="GPG365" s="35"/>
      <c r="GPH365" s="35"/>
      <c r="GPI365" s="35"/>
      <c r="GPJ365" s="35"/>
      <c r="GPK365" s="35"/>
      <c r="GPL365" s="34"/>
      <c r="GPM365" s="34"/>
      <c r="GPN365" s="36"/>
      <c r="GPO365" s="36"/>
      <c r="GPP365" s="37"/>
      <c r="GPQ365" s="37"/>
      <c r="GPR365" s="38"/>
      <c r="GPS365" s="38"/>
      <c r="GPT365" s="39"/>
      <c r="GPU365" s="34"/>
      <c r="GPV365" s="34"/>
      <c r="GPW365" s="34"/>
      <c r="GPX365" s="35"/>
      <c r="GPY365" s="35"/>
      <c r="GPZ365" s="35"/>
      <c r="GQA365" s="35"/>
      <c r="GQB365" s="35"/>
      <c r="GQC365" s="34"/>
      <c r="GQD365" s="34"/>
      <c r="GQE365" s="36"/>
      <c r="GQF365" s="36"/>
      <c r="GQG365" s="37"/>
      <c r="GQH365" s="37"/>
      <c r="GQI365" s="38"/>
      <c r="GQJ365" s="38"/>
      <c r="GQK365" s="39"/>
      <c r="GQL365" s="34"/>
      <c r="GQM365" s="34"/>
      <c r="GQN365" s="34"/>
      <c r="GQO365" s="35"/>
      <c r="GQP365" s="35"/>
      <c r="GQQ365" s="35"/>
      <c r="GQR365" s="35"/>
      <c r="GQS365" s="35"/>
      <c r="GQT365" s="34"/>
      <c r="GQU365" s="34"/>
      <c r="GQV365" s="36"/>
      <c r="GQW365" s="36"/>
      <c r="GQX365" s="37"/>
      <c r="GQY365" s="37"/>
      <c r="GQZ365" s="38"/>
      <c r="GRA365" s="38"/>
      <c r="GRB365" s="39"/>
      <c r="GRC365" s="34"/>
      <c r="GRD365" s="34"/>
      <c r="GRE365" s="34"/>
      <c r="GRF365" s="35"/>
      <c r="GRG365" s="35"/>
      <c r="GRH365" s="35"/>
      <c r="GRI365" s="35"/>
      <c r="GRJ365" s="35"/>
      <c r="GRK365" s="34"/>
      <c r="GRL365" s="34"/>
      <c r="GRM365" s="36"/>
      <c r="GRN365" s="36"/>
      <c r="GRO365" s="37"/>
      <c r="GRP365" s="37"/>
      <c r="GRQ365" s="38"/>
      <c r="GRR365" s="38"/>
      <c r="GRS365" s="39"/>
      <c r="GRT365" s="34"/>
      <c r="GRU365" s="34"/>
      <c r="GRV365" s="34"/>
      <c r="GRW365" s="35"/>
      <c r="GRX365" s="35"/>
      <c r="GRY365" s="35"/>
      <c r="GRZ365" s="35"/>
      <c r="GSA365" s="35"/>
      <c r="GSB365" s="34"/>
      <c r="GSC365" s="34"/>
      <c r="GSD365" s="36"/>
      <c r="GSE365" s="36"/>
      <c r="GSF365" s="37"/>
      <c r="GSG365" s="37"/>
      <c r="GSH365" s="38"/>
      <c r="GSI365" s="38"/>
      <c r="GSJ365" s="39"/>
      <c r="GSK365" s="34"/>
      <c r="GSL365" s="34"/>
      <c r="GSM365" s="34"/>
      <c r="GSN365" s="35"/>
      <c r="GSO365" s="35"/>
      <c r="GSP365" s="35"/>
      <c r="GSQ365" s="35"/>
      <c r="GSR365" s="35"/>
      <c r="GSS365" s="34"/>
      <c r="GST365" s="34"/>
      <c r="GSU365" s="36"/>
      <c r="GSV365" s="36"/>
      <c r="GSW365" s="37"/>
      <c r="GSX365" s="37"/>
      <c r="GSY365" s="38"/>
      <c r="GSZ365" s="38"/>
      <c r="GTA365" s="39"/>
      <c r="GTB365" s="34"/>
      <c r="GTC365" s="34"/>
      <c r="GTD365" s="34"/>
      <c r="GTE365" s="35"/>
      <c r="GTF365" s="35"/>
      <c r="GTG365" s="35"/>
      <c r="GTH365" s="35"/>
      <c r="GTI365" s="35"/>
      <c r="GTJ365" s="34"/>
      <c r="GTK365" s="34"/>
      <c r="GTL365" s="36"/>
      <c r="GTM365" s="36"/>
      <c r="GTN365" s="37"/>
      <c r="GTO365" s="37"/>
      <c r="GTP365" s="38"/>
      <c r="GTQ365" s="38"/>
      <c r="GTR365" s="39"/>
      <c r="GTS365" s="34"/>
      <c r="GTT365" s="34"/>
      <c r="GTU365" s="34"/>
      <c r="GTV365" s="35"/>
      <c r="GTW365" s="35"/>
      <c r="GTX365" s="35"/>
      <c r="GTY365" s="35"/>
      <c r="GTZ365" s="35"/>
      <c r="GUA365" s="34"/>
      <c r="GUB365" s="34"/>
      <c r="GUC365" s="36"/>
      <c r="GUD365" s="36"/>
      <c r="GUE365" s="37"/>
      <c r="GUF365" s="37"/>
      <c r="GUG365" s="38"/>
      <c r="GUH365" s="38"/>
      <c r="GUI365" s="39"/>
      <c r="GUJ365" s="34"/>
      <c r="GUK365" s="34"/>
      <c r="GUL365" s="34"/>
      <c r="GUM365" s="35"/>
      <c r="GUN365" s="35"/>
      <c r="GUO365" s="35"/>
      <c r="GUP365" s="35"/>
      <c r="GUQ365" s="35"/>
      <c r="GUR365" s="34"/>
      <c r="GUS365" s="34"/>
      <c r="GUT365" s="36"/>
      <c r="GUU365" s="36"/>
      <c r="GUV365" s="37"/>
      <c r="GUW365" s="37"/>
      <c r="GUX365" s="38"/>
      <c r="GUY365" s="38"/>
      <c r="GUZ365" s="39"/>
      <c r="GVA365" s="34"/>
      <c r="GVB365" s="34"/>
      <c r="GVC365" s="34"/>
      <c r="GVD365" s="35"/>
      <c r="GVE365" s="35"/>
      <c r="GVF365" s="35"/>
      <c r="GVG365" s="35"/>
      <c r="GVH365" s="35"/>
      <c r="GVI365" s="34"/>
      <c r="GVJ365" s="34"/>
      <c r="GVK365" s="36"/>
      <c r="GVL365" s="36"/>
      <c r="GVM365" s="37"/>
      <c r="GVN365" s="37"/>
      <c r="GVO365" s="38"/>
      <c r="GVP365" s="38"/>
      <c r="GVQ365" s="39"/>
      <c r="GVR365" s="34"/>
      <c r="GVS365" s="34"/>
      <c r="GVT365" s="34"/>
      <c r="GVU365" s="35"/>
      <c r="GVV365" s="35"/>
      <c r="GVW365" s="35"/>
      <c r="GVX365" s="35"/>
      <c r="GVY365" s="35"/>
      <c r="GVZ365" s="34"/>
      <c r="GWA365" s="34"/>
      <c r="GWB365" s="36"/>
      <c r="GWC365" s="36"/>
      <c r="GWD365" s="37"/>
      <c r="GWE365" s="37"/>
      <c r="GWF365" s="38"/>
      <c r="GWG365" s="38"/>
      <c r="GWH365" s="39"/>
      <c r="GWI365" s="34"/>
      <c r="GWJ365" s="34"/>
      <c r="GWK365" s="34"/>
      <c r="GWL365" s="35"/>
      <c r="GWM365" s="35"/>
      <c r="GWN365" s="35"/>
      <c r="GWO365" s="35"/>
      <c r="GWP365" s="35"/>
      <c r="GWQ365" s="34"/>
      <c r="GWR365" s="34"/>
      <c r="GWS365" s="36"/>
      <c r="GWT365" s="36"/>
      <c r="GWU365" s="37"/>
      <c r="GWV365" s="37"/>
      <c r="GWW365" s="38"/>
      <c r="GWX365" s="38"/>
      <c r="GWY365" s="39"/>
      <c r="GWZ365" s="34"/>
      <c r="GXA365" s="34"/>
      <c r="GXB365" s="34"/>
      <c r="GXC365" s="35"/>
      <c r="GXD365" s="35"/>
      <c r="GXE365" s="35"/>
      <c r="GXF365" s="35"/>
      <c r="GXG365" s="35"/>
      <c r="GXH365" s="34"/>
      <c r="GXI365" s="34"/>
      <c r="GXJ365" s="36"/>
      <c r="GXK365" s="36"/>
      <c r="GXL365" s="37"/>
      <c r="GXM365" s="37"/>
      <c r="GXN365" s="38"/>
      <c r="GXO365" s="38"/>
      <c r="GXP365" s="39"/>
      <c r="GXQ365" s="34"/>
      <c r="GXR365" s="34"/>
      <c r="GXS365" s="34"/>
      <c r="GXT365" s="35"/>
      <c r="GXU365" s="35"/>
      <c r="GXV365" s="35"/>
      <c r="GXW365" s="35"/>
      <c r="GXX365" s="35"/>
      <c r="GXY365" s="34"/>
      <c r="GXZ365" s="34"/>
      <c r="GYA365" s="36"/>
      <c r="GYB365" s="36"/>
      <c r="GYC365" s="37"/>
      <c r="GYD365" s="37"/>
      <c r="GYE365" s="38"/>
      <c r="GYF365" s="38"/>
      <c r="GYG365" s="39"/>
      <c r="GYH365" s="34"/>
      <c r="GYI365" s="34"/>
      <c r="GYJ365" s="34"/>
      <c r="GYK365" s="35"/>
      <c r="GYL365" s="35"/>
      <c r="GYM365" s="35"/>
      <c r="GYN365" s="35"/>
      <c r="GYO365" s="35"/>
      <c r="GYP365" s="34"/>
      <c r="GYQ365" s="34"/>
      <c r="GYR365" s="36"/>
      <c r="GYS365" s="36"/>
      <c r="GYT365" s="37"/>
      <c r="GYU365" s="37"/>
      <c r="GYV365" s="38"/>
      <c r="GYW365" s="38"/>
      <c r="GYX365" s="39"/>
      <c r="GYY365" s="34"/>
      <c r="GYZ365" s="34"/>
      <c r="GZA365" s="34"/>
      <c r="GZB365" s="35"/>
      <c r="GZC365" s="35"/>
      <c r="GZD365" s="35"/>
      <c r="GZE365" s="35"/>
      <c r="GZF365" s="35"/>
      <c r="GZG365" s="34"/>
      <c r="GZH365" s="34"/>
      <c r="GZI365" s="36"/>
      <c r="GZJ365" s="36"/>
      <c r="GZK365" s="37"/>
      <c r="GZL365" s="37"/>
      <c r="GZM365" s="38"/>
      <c r="GZN365" s="38"/>
      <c r="GZO365" s="39"/>
      <c r="GZP365" s="34"/>
      <c r="GZQ365" s="34"/>
      <c r="GZR365" s="34"/>
      <c r="GZS365" s="35"/>
      <c r="GZT365" s="35"/>
      <c r="GZU365" s="35"/>
      <c r="GZV365" s="35"/>
      <c r="GZW365" s="35"/>
      <c r="GZX365" s="34"/>
      <c r="GZY365" s="34"/>
      <c r="GZZ365" s="36"/>
      <c r="HAA365" s="36"/>
      <c r="HAB365" s="37"/>
      <c r="HAC365" s="37"/>
      <c r="HAD365" s="38"/>
      <c r="HAE365" s="38"/>
      <c r="HAF365" s="39"/>
      <c r="HAG365" s="34"/>
      <c r="HAH365" s="34"/>
      <c r="HAI365" s="34"/>
      <c r="HAJ365" s="35"/>
      <c r="HAK365" s="35"/>
      <c r="HAL365" s="35"/>
      <c r="HAM365" s="35"/>
      <c r="HAN365" s="35"/>
      <c r="HAO365" s="34"/>
      <c r="HAP365" s="34"/>
      <c r="HAQ365" s="36"/>
      <c r="HAR365" s="36"/>
      <c r="HAS365" s="37"/>
      <c r="HAT365" s="37"/>
      <c r="HAU365" s="38"/>
      <c r="HAV365" s="38"/>
      <c r="HAW365" s="39"/>
      <c r="HAX365" s="34"/>
      <c r="HAY365" s="34"/>
      <c r="HAZ365" s="34"/>
      <c r="HBA365" s="35"/>
      <c r="HBB365" s="35"/>
      <c r="HBC365" s="35"/>
      <c r="HBD365" s="35"/>
      <c r="HBE365" s="35"/>
      <c r="HBF365" s="34"/>
      <c r="HBG365" s="34"/>
      <c r="HBH365" s="36"/>
      <c r="HBI365" s="36"/>
      <c r="HBJ365" s="37"/>
      <c r="HBK365" s="37"/>
      <c r="HBL365" s="38"/>
      <c r="HBM365" s="38"/>
      <c r="HBN365" s="39"/>
      <c r="HBO365" s="34"/>
      <c r="HBP365" s="34"/>
      <c r="HBQ365" s="34"/>
      <c r="HBR365" s="35"/>
      <c r="HBS365" s="35"/>
      <c r="HBT365" s="35"/>
      <c r="HBU365" s="35"/>
      <c r="HBV365" s="35"/>
      <c r="HBW365" s="34"/>
      <c r="HBX365" s="34"/>
      <c r="HBY365" s="36"/>
      <c r="HBZ365" s="36"/>
      <c r="HCA365" s="37"/>
      <c r="HCB365" s="37"/>
      <c r="HCC365" s="38"/>
      <c r="HCD365" s="38"/>
      <c r="HCE365" s="39"/>
      <c r="HCF365" s="34"/>
      <c r="HCG365" s="34"/>
      <c r="HCH365" s="34"/>
      <c r="HCI365" s="35"/>
      <c r="HCJ365" s="35"/>
      <c r="HCK365" s="35"/>
      <c r="HCL365" s="35"/>
      <c r="HCM365" s="35"/>
      <c r="HCN365" s="34"/>
      <c r="HCO365" s="34"/>
      <c r="HCP365" s="36"/>
      <c r="HCQ365" s="36"/>
      <c r="HCR365" s="37"/>
      <c r="HCS365" s="37"/>
      <c r="HCT365" s="38"/>
      <c r="HCU365" s="38"/>
      <c r="HCV365" s="39"/>
      <c r="HCW365" s="34"/>
      <c r="HCX365" s="34"/>
      <c r="HCY365" s="34"/>
      <c r="HCZ365" s="35"/>
      <c r="HDA365" s="35"/>
      <c r="HDB365" s="35"/>
      <c r="HDC365" s="35"/>
      <c r="HDD365" s="35"/>
      <c r="HDE365" s="34"/>
      <c r="HDF365" s="34"/>
      <c r="HDG365" s="36"/>
      <c r="HDH365" s="36"/>
      <c r="HDI365" s="37"/>
      <c r="HDJ365" s="37"/>
      <c r="HDK365" s="38"/>
      <c r="HDL365" s="38"/>
      <c r="HDM365" s="39"/>
      <c r="HDN365" s="34"/>
      <c r="HDO365" s="34"/>
      <c r="HDP365" s="34"/>
      <c r="HDQ365" s="35"/>
      <c r="HDR365" s="35"/>
      <c r="HDS365" s="35"/>
      <c r="HDT365" s="35"/>
      <c r="HDU365" s="35"/>
      <c r="HDV365" s="34"/>
      <c r="HDW365" s="34"/>
      <c r="HDX365" s="36"/>
      <c r="HDY365" s="36"/>
      <c r="HDZ365" s="37"/>
      <c r="HEA365" s="37"/>
      <c r="HEB365" s="38"/>
      <c r="HEC365" s="38"/>
      <c r="HED365" s="39"/>
      <c r="HEE365" s="34"/>
      <c r="HEF365" s="34"/>
      <c r="HEG365" s="34"/>
      <c r="HEH365" s="35"/>
      <c r="HEI365" s="35"/>
      <c r="HEJ365" s="35"/>
      <c r="HEK365" s="35"/>
      <c r="HEL365" s="35"/>
      <c r="HEM365" s="34"/>
      <c r="HEN365" s="34"/>
      <c r="HEO365" s="36"/>
      <c r="HEP365" s="36"/>
      <c r="HEQ365" s="37"/>
      <c r="HER365" s="37"/>
      <c r="HES365" s="38"/>
      <c r="HET365" s="38"/>
      <c r="HEU365" s="39"/>
      <c r="HEV365" s="34"/>
      <c r="HEW365" s="34"/>
      <c r="HEX365" s="34"/>
      <c r="HEY365" s="35"/>
      <c r="HEZ365" s="35"/>
      <c r="HFA365" s="35"/>
      <c r="HFB365" s="35"/>
      <c r="HFC365" s="35"/>
      <c r="HFD365" s="34"/>
      <c r="HFE365" s="34"/>
      <c r="HFF365" s="36"/>
      <c r="HFG365" s="36"/>
      <c r="HFH365" s="37"/>
      <c r="HFI365" s="37"/>
      <c r="HFJ365" s="38"/>
      <c r="HFK365" s="38"/>
      <c r="HFL365" s="39"/>
      <c r="HFM365" s="34"/>
      <c r="HFN365" s="34"/>
      <c r="HFO365" s="34"/>
      <c r="HFP365" s="35"/>
      <c r="HFQ365" s="35"/>
      <c r="HFR365" s="35"/>
      <c r="HFS365" s="35"/>
      <c r="HFT365" s="35"/>
      <c r="HFU365" s="34"/>
      <c r="HFV365" s="34"/>
      <c r="HFW365" s="36"/>
      <c r="HFX365" s="36"/>
      <c r="HFY365" s="37"/>
      <c r="HFZ365" s="37"/>
      <c r="HGA365" s="38"/>
      <c r="HGB365" s="38"/>
      <c r="HGC365" s="39"/>
      <c r="HGD365" s="34"/>
      <c r="HGE365" s="34"/>
      <c r="HGF365" s="34"/>
      <c r="HGG365" s="35"/>
      <c r="HGH365" s="35"/>
      <c r="HGI365" s="35"/>
      <c r="HGJ365" s="35"/>
      <c r="HGK365" s="35"/>
      <c r="HGL365" s="34"/>
      <c r="HGM365" s="34"/>
      <c r="HGN365" s="36"/>
      <c r="HGO365" s="36"/>
      <c r="HGP365" s="37"/>
      <c r="HGQ365" s="37"/>
      <c r="HGR365" s="38"/>
      <c r="HGS365" s="38"/>
      <c r="HGT365" s="39"/>
      <c r="HGU365" s="34"/>
      <c r="HGV365" s="34"/>
      <c r="HGW365" s="34"/>
      <c r="HGX365" s="35"/>
      <c r="HGY365" s="35"/>
      <c r="HGZ365" s="35"/>
      <c r="HHA365" s="35"/>
      <c r="HHB365" s="35"/>
      <c r="HHC365" s="34"/>
      <c r="HHD365" s="34"/>
      <c r="HHE365" s="36"/>
      <c r="HHF365" s="36"/>
      <c r="HHG365" s="37"/>
      <c r="HHH365" s="37"/>
      <c r="HHI365" s="38"/>
      <c r="HHJ365" s="38"/>
      <c r="HHK365" s="39"/>
      <c r="HHL365" s="34"/>
      <c r="HHM365" s="34"/>
      <c r="HHN365" s="34"/>
      <c r="HHO365" s="35"/>
      <c r="HHP365" s="35"/>
      <c r="HHQ365" s="35"/>
      <c r="HHR365" s="35"/>
      <c r="HHS365" s="35"/>
      <c r="HHT365" s="34"/>
      <c r="HHU365" s="34"/>
      <c r="HHV365" s="36"/>
      <c r="HHW365" s="36"/>
      <c r="HHX365" s="37"/>
      <c r="HHY365" s="37"/>
      <c r="HHZ365" s="38"/>
      <c r="HIA365" s="38"/>
      <c r="HIB365" s="39"/>
      <c r="HIC365" s="34"/>
      <c r="HID365" s="34"/>
      <c r="HIE365" s="34"/>
      <c r="HIF365" s="35"/>
      <c r="HIG365" s="35"/>
      <c r="HIH365" s="35"/>
      <c r="HII365" s="35"/>
      <c r="HIJ365" s="35"/>
      <c r="HIK365" s="34"/>
      <c r="HIL365" s="34"/>
      <c r="HIM365" s="36"/>
      <c r="HIN365" s="36"/>
      <c r="HIO365" s="37"/>
      <c r="HIP365" s="37"/>
      <c r="HIQ365" s="38"/>
      <c r="HIR365" s="38"/>
      <c r="HIS365" s="39"/>
      <c r="HIT365" s="34"/>
      <c r="HIU365" s="34"/>
      <c r="HIV365" s="34"/>
      <c r="HIW365" s="35"/>
      <c r="HIX365" s="35"/>
      <c r="HIY365" s="35"/>
      <c r="HIZ365" s="35"/>
      <c r="HJA365" s="35"/>
      <c r="HJB365" s="34"/>
      <c r="HJC365" s="34"/>
      <c r="HJD365" s="36"/>
      <c r="HJE365" s="36"/>
      <c r="HJF365" s="37"/>
      <c r="HJG365" s="37"/>
      <c r="HJH365" s="38"/>
      <c r="HJI365" s="38"/>
      <c r="HJJ365" s="39"/>
      <c r="HJK365" s="34"/>
      <c r="HJL365" s="34"/>
      <c r="HJM365" s="34"/>
      <c r="HJN365" s="35"/>
      <c r="HJO365" s="35"/>
      <c r="HJP365" s="35"/>
      <c r="HJQ365" s="35"/>
      <c r="HJR365" s="35"/>
      <c r="HJS365" s="34"/>
      <c r="HJT365" s="34"/>
      <c r="HJU365" s="36"/>
      <c r="HJV365" s="36"/>
      <c r="HJW365" s="37"/>
      <c r="HJX365" s="37"/>
      <c r="HJY365" s="38"/>
      <c r="HJZ365" s="38"/>
      <c r="HKA365" s="39"/>
      <c r="HKB365" s="34"/>
      <c r="HKC365" s="34"/>
      <c r="HKD365" s="34"/>
      <c r="HKE365" s="35"/>
      <c r="HKF365" s="35"/>
      <c r="HKG365" s="35"/>
      <c r="HKH365" s="35"/>
      <c r="HKI365" s="35"/>
      <c r="HKJ365" s="34"/>
      <c r="HKK365" s="34"/>
      <c r="HKL365" s="36"/>
      <c r="HKM365" s="36"/>
      <c r="HKN365" s="37"/>
      <c r="HKO365" s="37"/>
      <c r="HKP365" s="38"/>
      <c r="HKQ365" s="38"/>
      <c r="HKR365" s="39"/>
      <c r="HKS365" s="34"/>
      <c r="HKT365" s="34"/>
      <c r="HKU365" s="34"/>
      <c r="HKV365" s="35"/>
      <c r="HKW365" s="35"/>
      <c r="HKX365" s="35"/>
      <c r="HKY365" s="35"/>
      <c r="HKZ365" s="35"/>
      <c r="HLA365" s="34"/>
      <c r="HLB365" s="34"/>
      <c r="HLC365" s="36"/>
      <c r="HLD365" s="36"/>
      <c r="HLE365" s="37"/>
      <c r="HLF365" s="37"/>
      <c r="HLG365" s="38"/>
      <c r="HLH365" s="38"/>
      <c r="HLI365" s="39"/>
      <c r="HLJ365" s="34"/>
      <c r="HLK365" s="34"/>
      <c r="HLL365" s="34"/>
      <c r="HLM365" s="35"/>
      <c r="HLN365" s="35"/>
      <c r="HLO365" s="35"/>
      <c r="HLP365" s="35"/>
      <c r="HLQ365" s="35"/>
      <c r="HLR365" s="34"/>
      <c r="HLS365" s="34"/>
      <c r="HLT365" s="36"/>
      <c r="HLU365" s="36"/>
      <c r="HLV365" s="37"/>
      <c r="HLW365" s="37"/>
      <c r="HLX365" s="38"/>
      <c r="HLY365" s="38"/>
      <c r="HLZ365" s="39"/>
      <c r="HMA365" s="34"/>
      <c r="HMB365" s="34"/>
      <c r="HMC365" s="34"/>
      <c r="HMD365" s="35"/>
      <c r="HME365" s="35"/>
      <c r="HMF365" s="35"/>
      <c r="HMG365" s="35"/>
      <c r="HMH365" s="35"/>
      <c r="HMI365" s="34"/>
      <c r="HMJ365" s="34"/>
      <c r="HMK365" s="36"/>
      <c r="HML365" s="36"/>
      <c r="HMM365" s="37"/>
      <c r="HMN365" s="37"/>
      <c r="HMO365" s="38"/>
      <c r="HMP365" s="38"/>
      <c r="HMQ365" s="39"/>
      <c r="HMR365" s="34"/>
      <c r="HMS365" s="34"/>
      <c r="HMT365" s="34"/>
      <c r="HMU365" s="35"/>
      <c r="HMV365" s="35"/>
      <c r="HMW365" s="35"/>
      <c r="HMX365" s="35"/>
      <c r="HMY365" s="35"/>
      <c r="HMZ365" s="34"/>
      <c r="HNA365" s="34"/>
      <c r="HNB365" s="36"/>
      <c r="HNC365" s="36"/>
      <c r="HND365" s="37"/>
      <c r="HNE365" s="37"/>
      <c r="HNF365" s="38"/>
      <c r="HNG365" s="38"/>
      <c r="HNH365" s="39"/>
      <c r="HNI365" s="34"/>
      <c r="HNJ365" s="34"/>
      <c r="HNK365" s="34"/>
      <c r="HNL365" s="35"/>
      <c r="HNM365" s="35"/>
      <c r="HNN365" s="35"/>
      <c r="HNO365" s="35"/>
      <c r="HNP365" s="35"/>
      <c r="HNQ365" s="34"/>
      <c r="HNR365" s="34"/>
      <c r="HNS365" s="36"/>
      <c r="HNT365" s="36"/>
      <c r="HNU365" s="37"/>
      <c r="HNV365" s="37"/>
      <c r="HNW365" s="38"/>
      <c r="HNX365" s="38"/>
      <c r="HNY365" s="39"/>
      <c r="HNZ365" s="34"/>
      <c r="HOA365" s="34"/>
      <c r="HOB365" s="34"/>
      <c r="HOC365" s="35"/>
      <c r="HOD365" s="35"/>
      <c r="HOE365" s="35"/>
      <c r="HOF365" s="35"/>
      <c r="HOG365" s="35"/>
      <c r="HOH365" s="34"/>
      <c r="HOI365" s="34"/>
      <c r="HOJ365" s="36"/>
      <c r="HOK365" s="36"/>
      <c r="HOL365" s="37"/>
      <c r="HOM365" s="37"/>
      <c r="HON365" s="38"/>
      <c r="HOO365" s="38"/>
      <c r="HOP365" s="39"/>
      <c r="HOQ365" s="34"/>
      <c r="HOR365" s="34"/>
      <c r="HOS365" s="34"/>
      <c r="HOT365" s="35"/>
      <c r="HOU365" s="35"/>
      <c r="HOV365" s="35"/>
      <c r="HOW365" s="35"/>
      <c r="HOX365" s="35"/>
      <c r="HOY365" s="34"/>
      <c r="HOZ365" s="34"/>
      <c r="HPA365" s="36"/>
      <c r="HPB365" s="36"/>
      <c r="HPC365" s="37"/>
      <c r="HPD365" s="37"/>
      <c r="HPE365" s="38"/>
      <c r="HPF365" s="38"/>
      <c r="HPG365" s="39"/>
      <c r="HPH365" s="34"/>
      <c r="HPI365" s="34"/>
      <c r="HPJ365" s="34"/>
      <c r="HPK365" s="35"/>
      <c r="HPL365" s="35"/>
      <c r="HPM365" s="35"/>
      <c r="HPN365" s="35"/>
      <c r="HPO365" s="35"/>
      <c r="HPP365" s="34"/>
      <c r="HPQ365" s="34"/>
      <c r="HPR365" s="36"/>
      <c r="HPS365" s="36"/>
      <c r="HPT365" s="37"/>
      <c r="HPU365" s="37"/>
      <c r="HPV365" s="38"/>
      <c r="HPW365" s="38"/>
      <c r="HPX365" s="39"/>
      <c r="HPY365" s="34"/>
      <c r="HPZ365" s="34"/>
      <c r="HQA365" s="34"/>
      <c r="HQB365" s="35"/>
      <c r="HQC365" s="35"/>
      <c r="HQD365" s="35"/>
      <c r="HQE365" s="35"/>
      <c r="HQF365" s="35"/>
      <c r="HQG365" s="34"/>
      <c r="HQH365" s="34"/>
      <c r="HQI365" s="36"/>
      <c r="HQJ365" s="36"/>
      <c r="HQK365" s="37"/>
      <c r="HQL365" s="37"/>
      <c r="HQM365" s="38"/>
      <c r="HQN365" s="38"/>
      <c r="HQO365" s="39"/>
      <c r="HQP365" s="34"/>
      <c r="HQQ365" s="34"/>
      <c r="HQR365" s="34"/>
      <c r="HQS365" s="35"/>
      <c r="HQT365" s="35"/>
      <c r="HQU365" s="35"/>
      <c r="HQV365" s="35"/>
      <c r="HQW365" s="35"/>
      <c r="HQX365" s="34"/>
      <c r="HQY365" s="34"/>
      <c r="HQZ365" s="36"/>
      <c r="HRA365" s="36"/>
      <c r="HRB365" s="37"/>
      <c r="HRC365" s="37"/>
      <c r="HRD365" s="38"/>
      <c r="HRE365" s="38"/>
      <c r="HRF365" s="39"/>
      <c r="HRG365" s="34"/>
      <c r="HRH365" s="34"/>
      <c r="HRI365" s="34"/>
      <c r="HRJ365" s="35"/>
      <c r="HRK365" s="35"/>
      <c r="HRL365" s="35"/>
      <c r="HRM365" s="35"/>
      <c r="HRN365" s="35"/>
      <c r="HRO365" s="34"/>
      <c r="HRP365" s="34"/>
      <c r="HRQ365" s="36"/>
      <c r="HRR365" s="36"/>
      <c r="HRS365" s="37"/>
      <c r="HRT365" s="37"/>
      <c r="HRU365" s="38"/>
      <c r="HRV365" s="38"/>
      <c r="HRW365" s="39"/>
      <c r="HRX365" s="34"/>
      <c r="HRY365" s="34"/>
      <c r="HRZ365" s="34"/>
      <c r="HSA365" s="35"/>
      <c r="HSB365" s="35"/>
      <c r="HSC365" s="35"/>
      <c r="HSD365" s="35"/>
      <c r="HSE365" s="35"/>
      <c r="HSF365" s="34"/>
      <c r="HSG365" s="34"/>
      <c r="HSH365" s="36"/>
      <c r="HSI365" s="36"/>
      <c r="HSJ365" s="37"/>
      <c r="HSK365" s="37"/>
      <c r="HSL365" s="38"/>
      <c r="HSM365" s="38"/>
      <c r="HSN365" s="39"/>
      <c r="HSO365" s="34"/>
      <c r="HSP365" s="34"/>
      <c r="HSQ365" s="34"/>
      <c r="HSR365" s="35"/>
      <c r="HSS365" s="35"/>
      <c r="HST365" s="35"/>
      <c r="HSU365" s="35"/>
      <c r="HSV365" s="35"/>
      <c r="HSW365" s="34"/>
      <c r="HSX365" s="34"/>
      <c r="HSY365" s="36"/>
      <c r="HSZ365" s="36"/>
      <c r="HTA365" s="37"/>
      <c r="HTB365" s="37"/>
      <c r="HTC365" s="38"/>
      <c r="HTD365" s="38"/>
      <c r="HTE365" s="39"/>
      <c r="HTF365" s="34"/>
      <c r="HTG365" s="34"/>
      <c r="HTH365" s="34"/>
      <c r="HTI365" s="35"/>
      <c r="HTJ365" s="35"/>
      <c r="HTK365" s="35"/>
      <c r="HTL365" s="35"/>
      <c r="HTM365" s="35"/>
      <c r="HTN365" s="34"/>
      <c r="HTO365" s="34"/>
      <c r="HTP365" s="36"/>
      <c r="HTQ365" s="36"/>
      <c r="HTR365" s="37"/>
      <c r="HTS365" s="37"/>
      <c r="HTT365" s="38"/>
      <c r="HTU365" s="38"/>
      <c r="HTV365" s="39"/>
      <c r="HTW365" s="34"/>
      <c r="HTX365" s="34"/>
      <c r="HTY365" s="34"/>
      <c r="HTZ365" s="35"/>
      <c r="HUA365" s="35"/>
      <c r="HUB365" s="35"/>
      <c r="HUC365" s="35"/>
      <c r="HUD365" s="35"/>
      <c r="HUE365" s="34"/>
      <c r="HUF365" s="34"/>
      <c r="HUG365" s="36"/>
      <c r="HUH365" s="36"/>
      <c r="HUI365" s="37"/>
      <c r="HUJ365" s="37"/>
      <c r="HUK365" s="38"/>
      <c r="HUL365" s="38"/>
      <c r="HUM365" s="39"/>
      <c r="HUN365" s="34"/>
      <c r="HUO365" s="34"/>
      <c r="HUP365" s="34"/>
      <c r="HUQ365" s="35"/>
      <c r="HUR365" s="35"/>
      <c r="HUS365" s="35"/>
      <c r="HUT365" s="35"/>
      <c r="HUU365" s="35"/>
      <c r="HUV365" s="34"/>
      <c r="HUW365" s="34"/>
      <c r="HUX365" s="36"/>
      <c r="HUY365" s="36"/>
      <c r="HUZ365" s="37"/>
      <c r="HVA365" s="37"/>
      <c r="HVB365" s="38"/>
      <c r="HVC365" s="38"/>
      <c r="HVD365" s="39"/>
      <c r="HVE365" s="34"/>
      <c r="HVF365" s="34"/>
      <c r="HVG365" s="34"/>
      <c r="HVH365" s="35"/>
      <c r="HVI365" s="35"/>
      <c r="HVJ365" s="35"/>
      <c r="HVK365" s="35"/>
      <c r="HVL365" s="35"/>
      <c r="HVM365" s="34"/>
      <c r="HVN365" s="34"/>
      <c r="HVO365" s="36"/>
      <c r="HVP365" s="36"/>
      <c r="HVQ365" s="37"/>
      <c r="HVR365" s="37"/>
      <c r="HVS365" s="38"/>
      <c r="HVT365" s="38"/>
      <c r="HVU365" s="39"/>
      <c r="HVV365" s="34"/>
      <c r="HVW365" s="34"/>
      <c r="HVX365" s="34"/>
      <c r="HVY365" s="35"/>
      <c r="HVZ365" s="35"/>
      <c r="HWA365" s="35"/>
      <c r="HWB365" s="35"/>
      <c r="HWC365" s="35"/>
      <c r="HWD365" s="34"/>
      <c r="HWE365" s="34"/>
      <c r="HWF365" s="36"/>
      <c r="HWG365" s="36"/>
      <c r="HWH365" s="37"/>
      <c r="HWI365" s="37"/>
      <c r="HWJ365" s="38"/>
      <c r="HWK365" s="38"/>
      <c r="HWL365" s="39"/>
      <c r="HWM365" s="34"/>
      <c r="HWN365" s="34"/>
      <c r="HWO365" s="34"/>
      <c r="HWP365" s="35"/>
      <c r="HWQ365" s="35"/>
      <c r="HWR365" s="35"/>
      <c r="HWS365" s="35"/>
      <c r="HWT365" s="35"/>
      <c r="HWU365" s="34"/>
      <c r="HWV365" s="34"/>
      <c r="HWW365" s="36"/>
      <c r="HWX365" s="36"/>
      <c r="HWY365" s="37"/>
      <c r="HWZ365" s="37"/>
      <c r="HXA365" s="38"/>
      <c r="HXB365" s="38"/>
      <c r="HXC365" s="39"/>
      <c r="HXD365" s="34"/>
      <c r="HXE365" s="34"/>
      <c r="HXF365" s="34"/>
      <c r="HXG365" s="35"/>
      <c r="HXH365" s="35"/>
      <c r="HXI365" s="35"/>
      <c r="HXJ365" s="35"/>
      <c r="HXK365" s="35"/>
      <c r="HXL365" s="34"/>
      <c r="HXM365" s="34"/>
      <c r="HXN365" s="36"/>
      <c r="HXO365" s="36"/>
      <c r="HXP365" s="37"/>
      <c r="HXQ365" s="37"/>
      <c r="HXR365" s="38"/>
      <c r="HXS365" s="38"/>
      <c r="HXT365" s="39"/>
      <c r="HXU365" s="34"/>
      <c r="HXV365" s="34"/>
      <c r="HXW365" s="34"/>
      <c r="HXX365" s="35"/>
      <c r="HXY365" s="35"/>
      <c r="HXZ365" s="35"/>
      <c r="HYA365" s="35"/>
      <c r="HYB365" s="35"/>
      <c r="HYC365" s="34"/>
      <c r="HYD365" s="34"/>
      <c r="HYE365" s="36"/>
      <c r="HYF365" s="36"/>
      <c r="HYG365" s="37"/>
      <c r="HYH365" s="37"/>
      <c r="HYI365" s="38"/>
      <c r="HYJ365" s="38"/>
      <c r="HYK365" s="39"/>
      <c r="HYL365" s="34"/>
      <c r="HYM365" s="34"/>
      <c r="HYN365" s="34"/>
      <c r="HYO365" s="35"/>
      <c r="HYP365" s="35"/>
      <c r="HYQ365" s="35"/>
      <c r="HYR365" s="35"/>
      <c r="HYS365" s="35"/>
      <c r="HYT365" s="34"/>
      <c r="HYU365" s="34"/>
      <c r="HYV365" s="36"/>
      <c r="HYW365" s="36"/>
      <c r="HYX365" s="37"/>
      <c r="HYY365" s="37"/>
      <c r="HYZ365" s="38"/>
      <c r="HZA365" s="38"/>
      <c r="HZB365" s="39"/>
      <c r="HZC365" s="34"/>
      <c r="HZD365" s="34"/>
      <c r="HZE365" s="34"/>
      <c r="HZF365" s="35"/>
      <c r="HZG365" s="35"/>
      <c r="HZH365" s="35"/>
      <c r="HZI365" s="35"/>
      <c r="HZJ365" s="35"/>
      <c r="HZK365" s="34"/>
      <c r="HZL365" s="34"/>
      <c r="HZM365" s="36"/>
      <c r="HZN365" s="36"/>
      <c r="HZO365" s="37"/>
      <c r="HZP365" s="37"/>
      <c r="HZQ365" s="38"/>
      <c r="HZR365" s="38"/>
      <c r="HZS365" s="39"/>
      <c r="HZT365" s="34"/>
      <c r="HZU365" s="34"/>
      <c r="HZV365" s="34"/>
      <c r="HZW365" s="35"/>
      <c r="HZX365" s="35"/>
      <c r="HZY365" s="35"/>
      <c r="HZZ365" s="35"/>
      <c r="IAA365" s="35"/>
      <c r="IAB365" s="34"/>
      <c r="IAC365" s="34"/>
      <c r="IAD365" s="36"/>
      <c r="IAE365" s="36"/>
      <c r="IAF365" s="37"/>
      <c r="IAG365" s="37"/>
      <c r="IAH365" s="38"/>
      <c r="IAI365" s="38"/>
      <c r="IAJ365" s="39"/>
      <c r="IAK365" s="34"/>
      <c r="IAL365" s="34"/>
      <c r="IAM365" s="34"/>
      <c r="IAN365" s="35"/>
      <c r="IAO365" s="35"/>
      <c r="IAP365" s="35"/>
      <c r="IAQ365" s="35"/>
      <c r="IAR365" s="35"/>
      <c r="IAS365" s="34"/>
      <c r="IAT365" s="34"/>
      <c r="IAU365" s="36"/>
      <c r="IAV365" s="36"/>
      <c r="IAW365" s="37"/>
      <c r="IAX365" s="37"/>
      <c r="IAY365" s="38"/>
      <c r="IAZ365" s="38"/>
      <c r="IBA365" s="39"/>
      <c r="IBB365" s="34"/>
      <c r="IBC365" s="34"/>
      <c r="IBD365" s="34"/>
      <c r="IBE365" s="35"/>
      <c r="IBF365" s="35"/>
      <c r="IBG365" s="35"/>
      <c r="IBH365" s="35"/>
      <c r="IBI365" s="35"/>
      <c r="IBJ365" s="34"/>
      <c r="IBK365" s="34"/>
      <c r="IBL365" s="36"/>
      <c r="IBM365" s="36"/>
      <c r="IBN365" s="37"/>
      <c r="IBO365" s="37"/>
      <c r="IBP365" s="38"/>
      <c r="IBQ365" s="38"/>
      <c r="IBR365" s="39"/>
      <c r="IBS365" s="34"/>
      <c r="IBT365" s="34"/>
      <c r="IBU365" s="34"/>
      <c r="IBV365" s="35"/>
      <c r="IBW365" s="35"/>
      <c r="IBX365" s="35"/>
      <c r="IBY365" s="35"/>
      <c r="IBZ365" s="35"/>
      <c r="ICA365" s="34"/>
      <c r="ICB365" s="34"/>
      <c r="ICC365" s="36"/>
      <c r="ICD365" s="36"/>
      <c r="ICE365" s="37"/>
      <c r="ICF365" s="37"/>
      <c r="ICG365" s="38"/>
      <c r="ICH365" s="38"/>
      <c r="ICI365" s="39"/>
      <c r="ICJ365" s="34"/>
      <c r="ICK365" s="34"/>
      <c r="ICL365" s="34"/>
      <c r="ICM365" s="35"/>
      <c r="ICN365" s="35"/>
      <c r="ICO365" s="35"/>
      <c r="ICP365" s="35"/>
      <c r="ICQ365" s="35"/>
      <c r="ICR365" s="34"/>
      <c r="ICS365" s="34"/>
      <c r="ICT365" s="36"/>
      <c r="ICU365" s="36"/>
      <c r="ICV365" s="37"/>
      <c r="ICW365" s="37"/>
      <c r="ICX365" s="38"/>
      <c r="ICY365" s="38"/>
      <c r="ICZ365" s="39"/>
      <c r="IDA365" s="34"/>
      <c r="IDB365" s="34"/>
      <c r="IDC365" s="34"/>
      <c r="IDD365" s="35"/>
      <c r="IDE365" s="35"/>
      <c r="IDF365" s="35"/>
      <c r="IDG365" s="35"/>
      <c r="IDH365" s="35"/>
      <c r="IDI365" s="34"/>
      <c r="IDJ365" s="34"/>
      <c r="IDK365" s="36"/>
      <c r="IDL365" s="36"/>
      <c r="IDM365" s="37"/>
      <c r="IDN365" s="37"/>
      <c r="IDO365" s="38"/>
      <c r="IDP365" s="38"/>
      <c r="IDQ365" s="39"/>
      <c r="IDR365" s="34"/>
      <c r="IDS365" s="34"/>
      <c r="IDT365" s="34"/>
      <c r="IDU365" s="35"/>
      <c r="IDV365" s="35"/>
      <c r="IDW365" s="35"/>
      <c r="IDX365" s="35"/>
      <c r="IDY365" s="35"/>
      <c r="IDZ365" s="34"/>
      <c r="IEA365" s="34"/>
      <c r="IEB365" s="36"/>
      <c r="IEC365" s="36"/>
      <c r="IED365" s="37"/>
      <c r="IEE365" s="37"/>
      <c r="IEF365" s="38"/>
      <c r="IEG365" s="38"/>
      <c r="IEH365" s="39"/>
      <c r="IEI365" s="34"/>
      <c r="IEJ365" s="34"/>
      <c r="IEK365" s="34"/>
      <c r="IEL365" s="35"/>
      <c r="IEM365" s="35"/>
      <c r="IEN365" s="35"/>
      <c r="IEO365" s="35"/>
      <c r="IEP365" s="35"/>
      <c r="IEQ365" s="34"/>
      <c r="IER365" s="34"/>
      <c r="IES365" s="36"/>
      <c r="IET365" s="36"/>
      <c r="IEU365" s="37"/>
      <c r="IEV365" s="37"/>
      <c r="IEW365" s="38"/>
      <c r="IEX365" s="38"/>
      <c r="IEY365" s="39"/>
      <c r="IEZ365" s="34"/>
      <c r="IFA365" s="34"/>
      <c r="IFB365" s="34"/>
      <c r="IFC365" s="35"/>
      <c r="IFD365" s="35"/>
      <c r="IFE365" s="35"/>
      <c r="IFF365" s="35"/>
      <c r="IFG365" s="35"/>
      <c r="IFH365" s="34"/>
      <c r="IFI365" s="34"/>
      <c r="IFJ365" s="36"/>
      <c r="IFK365" s="36"/>
      <c r="IFL365" s="37"/>
      <c r="IFM365" s="37"/>
      <c r="IFN365" s="38"/>
      <c r="IFO365" s="38"/>
      <c r="IFP365" s="39"/>
      <c r="IFQ365" s="34"/>
      <c r="IFR365" s="34"/>
      <c r="IFS365" s="34"/>
      <c r="IFT365" s="35"/>
      <c r="IFU365" s="35"/>
      <c r="IFV365" s="35"/>
      <c r="IFW365" s="35"/>
      <c r="IFX365" s="35"/>
      <c r="IFY365" s="34"/>
      <c r="IFZ365" s="34"/>
      <c r="IGA365" s="36"/>
      <c r="IGB365" s="36"/>
      <c r="IGC365" s="37"/>
      <c r="IGD365" s="37"/>
      <c r="IGE365" s="38"/>
      <c r="IGF365" s="38"/>
      <c r="IGG365" s="39"/>
      <c r="IGH365" s="34"/>
      <c r="IGI365" s="34"/>
      <c r="IGJ365" s="34"/>
      <c r="IGK365" s="35"/>
      <c r="IGL365" s="35"/>
      <c r="IGM365" s="35"/>
      <c r="IGN365" s="35"/>
      <c r="IGO365" s="35"/>
      <c r="IGP365" s="34"/>
      <c r="IGQ365" s="34"/>
      <c r="IGR365" s="36"/>
      <c r="IGS365" s="36"/>
      <c r="IGT365" s="37"/>
      <c r="IGU365" s="37"/>
      <c r="IGV365" s="38"/>
      <c r="IGW365" s="38"/>
      <c r="IGX365" s="39"/>
      <c r="IGY365" s="34"/>
      <c r="IGZ365" s="34"/>
      <c r="IHA365" s="34"/>
      <c r="IHB365" s="35"/>
      <c r="IHC365" s="35"/>
      <c r="IHD365" s="35"/>
      <c r="IHE365" s="35"/>
      <c r="IHF365" s="35"/>
      <c r="IHG365" s="34"/>
      <c r="IHH365" s="34"/>
      <c r="IHI365" s="36"/>
      <c r="IHJ365" s="36"/>
      <c r="IHK365" s="37"/>
      <c r="IHL365" s="37"/>
      <c r="IHM365" s="38"/>
      <c r="IHN365" s="38"/>
      <c r="IHO365" s="39"/>
      <c r="IHP365" s="34"/>
      <c r="IHQ365" s="34"/>
      <c r="IHR365" s="34"/>
      <c r="IHS365" s="35"/>
      <c r="IHT365" s="35"/>
      <c r="IHU365" s="35"/>
      <c r="IHV365" s="35"/>
      <c r="IHW365" s="35"/>
      <c r="IHX365" s="34"/>
      <c r="IHY365" s="34"/>
      <c r="IHZ365" s="36"/>
      <c r="IIA365" s="36"/>
      <c r="IIB365" s="37"/>
      <c r="IIC365" s="37"/>
      <c r="IID365" s="38"/>
      <c r="IIE365" s="38"/>
      <c r="IIF365" s="39"/>
      <c r="IIG365" s="34"/>
      <c r="IIH365" s="34"/>
      <c r="III365" s="34"/>
      <c r="IIJ365" s="35"/>
      <c r="IIK365" s="35"/>
      <c r="IIL365" s="35"/>
      <c r="IIM365" s="35"/>
      <c r="IIN365" s="35"/>
      <c r="IIO365" s="34"/>
      <c r="IIP365" s="34"/>
      <c r="IIQ365" s="36"/>
      <c r="IIR365" s="36"/>
      <c r="IIS365" s="37"/>
      <c r="IIT365" s="37"/>
      <c r="IIU365" s="38"/>
      <c r="IIV365" s="38"/>
      <c r="IIW365" s="39"/>
      <c r="IIX365" s="34"/>
      <c r="IIY365" s="34"/>
      <c r="IIZ365" s="34"/>
      <c r="IJA365" s="35"/>
      <c r="IJB365" s="35"/>
      <c r="IJC365" s="35"/>
      <c r="IJD365" s="35"/>
      <c r="IJE365" s="35"/>
      <c r="IJF365" s="34"/>
      <c r="IJG365" s="34"/>
      <c r="IJH365" s="36"/>
      <c r="IJI365" s="36"/>
      <c r="IJJ365" s="37"/>
      <c r="IJK365" s="37"/>
      <c r="IJL365" s="38"/>
      <c r="IJM365" s="38"/>
      <c r="IJN365" s="39"/>
      <c r="IJO365" s="34"/>
      <c r="IJP365" s="34"/>
      <c r="IJQ365" s="34"/>
      <c r="IJR365" s="35"/>
      <c r="IJS365" s="35"/>
      <c r="IJT365" s="35"/>
      <c r="IJU365" s="35"/>
      <c r="IJV365" s="35"/>
      <c r="IJW365" s="34"/>
      <c r="IJX365" s="34"/>
      <c r="IJY365" s="36"/>
      <c r="IJZ365" s="36"/>
      <c r="IKA365" s="37"/>
      <c r="IKB365" s="37"/>
      <c r="IKC365" s="38"/>
      <c r="IKD365" s="38"/>
      <c r="IKE365" s="39"/>
      <c r="IKF365" s="34"/>
      <c r="IKG365" s="34"/>
      <c r="IKH365" s="34"/>
      <c r="IKI365" s="35"/>
      <c r="IKJ365" s="35"/>
      <c r="IKK365" s="35"/>
      <c r="IKL365" s="35"/>
      <c r="IKM365" s="35"/>
      <c r="IKN365" s="34"/>
      <c r="IKO365" s="34"/>
      <c r="IKP365" s="36"/>
      <c r="IKQ365" s="36"/>
      <c r="IKR365" s="37"/>
      <c r="IKS365" s="37"/>
      <c r="IKT365" s="38"/>
      <c r="IKU365" s="38"/>
      <c r="IKV365" s="39"/>
      <c r="IKW365" s="34"/>
      <c r="IKX365" s="34"/>
      <c r="IKY365" s="34"/>
      <c r="IKZ365" s="35"/>
      <c r="ILA365" s="35"/>
      <c r="ILB365" s="35"/>
      <c r="ILC365" s="35"/>
      <c r="ILD365" s="35"/>
      <c r="ILE365" s="34"/>
      <c r="ILF365" s="34"/>
      <c r="ILG365" s="36"/>
      <c r="ILH365" s="36"/>
      <c r="ILI365" s="37"/>
      <c r="ILJ365" s="37"/>
      <c r="ILK365" s="38"/>
      <c r="ILL365" s="38"/>
      <c r="ILM365" s="39"/>
      <c r="ILN365" s="34"/>
      <c r="ILO365" s="34"/>
      <c r="ILP365" s="34"/>
      <c r="ILQ365" s="35"/>
      <c r="ILR365" s="35"/>
      <c r="ILS365" s="35"/>
      <c r="ILT365" s="35"/>
      <c r="ILU365" s="35"/>
      <c r="ILV365" s="34"/>
      <c r="ILW365" s="34"/>
      <c r="ILX365" s="36"/>
      <c r="ILY365" s="36"/>
      <c r="ILZ365" s="37"/>
      <c r="IMA365" s="37"/>
      <c r="IMB365" s="38"/>
      <c r="IMC365" s="38"/>
      <c r="IMD365" s="39"/>
      <c r="IME365" s="34"/>
      <c r="IMF365" s="34"/>
      <c r="IMG365" s="34"/>
      <c r="IMH365" s="35"/>
      <c r="IMI365" s="35"/>
      <c r="IMJ365" s="35"/>
      <c r="IMK365" s="35"/>
      <c r="IML365" s="35"/>
      <c r="IMM365" s="34"/>
      <c r="IMN365" s="34"/>
      <c r="IMO365" s="36"/>
      <c r="IMP365" s="36"/>
      <c r="IMQ365" s="37"/>
      <c r="IMR365" s="37"/>
      <c r="IMS365" s="38"/>
      <c r="IMT365" s="38"/>
      <c r="IMU365" s="39"/>
      <c r="IMV365" s="34"/>
      <c r="IMW365" s="34"/>
      <c r="IMX365" s="34"/>
      <c r="IMY365" s="35"/>
      <c r="IMZ365" s="35"/>
      <c r="INA365" s="35"/>
      <c r="INB365" s="35"/>
      <c r="INC365" s="35"/>
      <c r="IND365" s="34"/>
      <c r="INE365" s="34"/>
      <c r="INF365" s="36"/>
      <c r="ING365" s="36"/>
      <c r="INH365" s="37"/>
      <c r="INI365" s="37"/>
      <c r="INJ365" s="38"/>
      <c r="INK365" s="38"/>
      <c r="INL365" s="39"/>
      <c r="INM365" s="34"/>
      <c r="INN365" s="34"/>
      <c r="INO365" s="34"/>
      <c r="INP365" s="35"/>
      <c r="INQ365" s="35"/>
      <c r="INR365" s="35"/>
      <c r="INS365" s="35"/>
      <c r="INT365" s="35"/>
      <c r="INU365" s="34"/>
      <c r="INV365" s="34"/>
      <c r="INW365" s="36"/>
      <c r="INX365" s="36"/>
      <c r="INY365" s="37"/>
      <c r="INZ365" s="37"/>
      <c r="IOA365" s="38"/>
      <c r="IOB365" s="38"/>
      <c r="IOC365" s="39"/>
      <c r="IOD365" s="34"/>
      <c r="IOE365" s="34"/>
      <c r="IOF365" s="34"/>
      <c r="IOG365" s="35"/>
      <c r="IOH365" s="35"/>
      <c r="IOI365" s="35"/>
      <c r="IOJ365" s="35"/>
      <c r="IOK365" s="35"/>
      <c r="IOL365" s="34"/>
      <c r="IOM365" s="34"/>
      <c r="ION365" s="36"/>
      <c r="IOO365" s="36"/>
      <c r="IOP365" s="37"/>
      <c r="IOQ365" s="37"/>
      <c r="IOR365" s="38"/>
      <c r="IOS365" s="38"/>
      <c r="IOT365" s="39"/>
      <c r="IOU365" s="34"/>
      <c r="IOV365" s="34"/>
      <c r="IOW365" s="34"/>
      <c r="IOX365" s="35"/>
      <c r="IOY365" s="35"/>
      <c r="IOZ365" s="35"/>
      <c r="IPA365" s="35"/>
      <c r="IPB365" s="35"/>
      <c r="IPC365" s="34"/>
      <c r="IPD365" s="34"/>
      <c r="IPE365" s="36"/>
      <c r="IPF365" s="36"/>
      <c r="IPG365" s="37"/>
      <c r="IPH365" s="37"/>
      <c r="IPI365" s="38"/>
      <c r="IPJ365" s="38"/>
      <c r="IPK365" s="39"/>
      <c r="IPL365" s="34"/>
      <c r="IPM365" s="34"/>
      <c r="IPN365" s="34"/>
      <c r="IPO365" s="35"/>
      <c r="IPP365" s="35"/>
      <c r="IPQ365" s="35"/>
      <c r="IPR365" s="35"/>
      <c r="IPS365" s="35"/>
      <c r="IPT365" s="34"/>
      <c r="IPU365" s="34"/>
      <c r="IPV365" s="36"/>
      <c r="IPW365" s="36"/>
      <c r="IPX365" s="37"/>
      <c r="IPY365" s="37"/>
      <c r="IPZ365" s="38"/>
      <c r="IQA365" s="38"/>
      <c r="IQB365" s="39"/>
      <c r="IQC365" s="34"/>
      <c r="IQD365" s="34"/>
      <c r="IQE365" s="34"/>
      <c r="IQF365" s="35"/>
      <c r="IQG365" s="35"/>
      <c r="IQH365" s="35"/>
      <c r="IQI365" s="35"/>
      <c r="IQJ365" s="35"/>
      <c r="IQK365" s="34"/>
      <c r="IQL365" s="34"/>
      <c r="IQM365" s="36"/>
      <c r="IQN365" s="36"/>
      <c r="IQO365" s="37"/>
      <c r="IQP365" s="37"/>
      <c r="IQQ365" s="38"/>
      <c r="IQR365" s="38"/>
      <c r="IQS365" s="39"/>
      <c r="IQT365" s="34"/>
      <c r="IQU365" s="34"/>
      <c r="IQV365" s="34"/>
      <c r="IQW365" s="35"/>
      <c r="IQX365" s="35"/>
      <c r="IQY365" s="35"/>
      <c r="IQZ365" s="35"/>
      <c r="IRA365" s="35"/>
      <c r="IRB365" s="34"/>
      <c r="IRC365" s="34"/>
      <c r="IRD365" s="36"/>
      <c r="IRE365" s="36"/>
      <c r="IRF365" s="37"/>
      <c r="IRG365" s="37"/>
      <c r="IRH365" s="38"/>
      <c r="IRI365" s="38"/>
      <c r="IRJ365" s="39"/>
      <c r="IRK365" s="34"/>
      <c r="IRL365" s="34"/>
      <c r="IRM365" s="34"/>
      <c r="IRN365" s="35"/>
      <c r="IRO365" s="35"/>
      <c r="IRP365" s="35"/>
      <c r="IRQ365" s="35"/>
      <c r="IRR365" s="35"/>
      <c r="IRS365" s="34"/>
      <c r="IRT365" s="34"/>
      <c r="IRU365" s="36"/>
      <c r="IRV365" s="36"/>
      <c r="IRW365" s="37"/>
      <c r="IRX365" s="37"/>
      <c r="IRY365" s="38"/>
      <c r="IRZ365" s="38"/>
      <c r="ISA365" s="39"/>
      <c r="ISB365" s="34"/>
      <c r="ISC365" s="34"/>
      <c r="ISD365" s="34"/>
      <c r="ISE365" s="35"/>
      <c r="ISF365" s="35"/>
      <c r="ISG365" s="35"/>
      <c r="ISH365" s="35"/>
      <c r="ISI365" s="35"/>
      <c r="ISJ365" s="34"/>
      <c r="ISK365" s="34"/>
      <c r="ISL365" s="36"/>
      <c r="ISM365" s="36"/>
      <c r="ISN365" s="37"/>
      <c r="ISO365" s="37"/>
      <c r="ISP365" s="38"/>
      <c r="ISQ365" s="38"/>
      <c r="ISR365" s="39"/>
      <c r="ISS365" s="34"/>
      <c r="IST365" s="34"/>
      <c r="ISU365" s="34"/>
      <c r="ISV365" s="35"/>
      <c r="ISW365" s="35"/>
      <c r="ISX365" s="35"/>
      <c r="ISY365" s="35"/>
      <c r="ISZ365" s="35"/>
      <c r="ITA365" s="34"/>
      <c r="ITB365" s="34"/>
      <c r="ITC365" s="36"/>
      <c r="ITD365" s="36"/>
      <c r="ITE365" s="37"/>
      <c r="ITF365" s="37"/>
      <c r="ITG365" s="38"/>
      <c r="ITH365" s="38"/>
      <c r="ITI365" s="39"/>
      <c r="ITJ365" s="34"/>
      <c r="ITK365" s="34"/>
      <c r="ITL365" s="34"/>
      <c r="ITM365" s="35"/>
      <c r="ITN365" s="35"/>
      <c r="ITO365" s="35"/>
      <c r="ITP365" s="35"/>
      <c r="ITQ365" s="35"/>
      <c r="ITR365" s="34"/>
      <c r="ITS365" s="34"/>
      <c r="ITT365" s="36"/>
      <c r="ITU365" s="36"/>
      <c r="ITV365" s="37"/>
      <c r="ITW365" s="37"/>
      <c r="ITX365" s="38"/>
      <c r="ITY365" s="38"/>
      <c r="ITZ365" s="39"/>
      <c r="IUA365" s="34"/>
      <c r="IUB365" s="34"/>
      <c r="IUC365" s="34"/>
      <c r="IUD365" s="35"/>
      <c r="IUE365" s="35"/>
      <c r="IUF365" s="35"/>
      <c r="IUG365" s="35"/>
      <c r="IUH365" s="35"/>
      <c r="IUI365" s="34"/>
      <c r="IUJ365" s="34"/>
      <c r="IUK365" s="36"/>
      <c r="IUL365" s="36"/>
      <c r="IUM365" s="37"/>
      <c r="IUN365" s="37"/>
      <c r="IUO365" s="38"/>
      <c r="IUP365" s="38"/>
      <c r="IUQ365" s="39"/>
      <c r="IUR365" s="34"/>
      <c r="IUS365" s="34"/>
      <c r="IUT365" s="34"/>
      <c r="IUU365" s="35"/>
      <c r="IUV365" s="35"/>
      <c r="IUW365" s="35"/>
      <c r="IUX365" s="35"/>
      <c r="IUY365" s="35"/>
      <c r="IUZ365" s="34"/>
      <c r="IVA365" s="34"/>
      <c r="IVB365" s="36"/>
      <c r="IVC365" s="36"/>
      <c r="IVD365" s="37"/>
      <c r="IVE365" s="37"/>
      <c r="IVF365" s="38"/>
      <c r="IVG365" s="38"/>
      <c r="IVH365" s="39"/>
      <c r="IVI365" s="34"/>
      <c r="IVJ365" s="34"/>
      <c r="IVK365" s="34"/>
      <c r="IVL365" s="35"/>
      <c r="IVM365" s="35"/>
      <c r="IVN365" s="35"/>
      <c r="IVO365" s="35"/>
      <c r="IVP365" s="35"/>
      <c r="IVQ365" s="34"/>
      <c r="IVR365" s="34"/>
      <c r="IVS365" s="36"/>
      <c r="IVT365" s="36"/>
      <c r="IVU365" s="37"/>
      <c r="IVV365" s="37"/>
      <c r="IVW365" s="38"/>
      <c r="IVX365" s="38"/>
      <c r="IVY365" s="39"/>
      <c r="IVZ365" s="34"/>
      <c r="IWA365" s="34"/>
      <c r="IWB365" s="34"/>
      <c r="IWC365" s="35"/>
      <c r="IWD365" s="35"/>
      <c r="IWE365" s="35"/>
      <c r="IWF365" s="35"/>
      <c r="IWG365" s="35"/>
      <c r="IWH365" s="34"/>
      <c r="IWI365" s="34"/>
      <c r="IWJ365" s="36"/>
      <c r="IWK365" s="36"/>
      <c r="IWL365" s="37"/>
      <c r="IWM365" s="37"/>
      <c r="IWN365" s="38"/>
      <c r="IWO365" s="38"/>
      <c r="IWP365" s="39"/>
      <c r="IWQ365" s="34"/>
      <c r="IWR365" s="34"/>
      <c r="IWS365" s="34"/>
      <c r="IWT365" s="35"/>
      <c r="IWU365" s="35"/>
      <c r="IWV365" s="35"/>
      <c r="IWW365" s="35"/>
      <c r="IWX365" s="35"/>
      <c r="IWY365" s="34"/>
      <c r="IWZ365" s="34"/>
      <c r="IXA365" s="36"/>
      <c r="IXB365" s="36"/>
      <c r="IXC365" s="37"/>
      <c r="IXD365" s="37"/>
      <c r="IXE365" s="38"/>
      <c r="IXF365" s="38"/>
      <c r="IXG365" s="39"/>
      <c r="IXH365" s="34"/>
      <c r="IXI365" s="34"/>
      <c r="IXJ365" s="34"/>
      <c r="IXK365" s="35"/>
      <c r="IXL365" s="35"/>
      <c r="IXM365" s="35"/>
      <c r="IXN365" s="35"/>
      <c r="IXO365" s="35"/>
      <c r="IXP365" s="34"/>
      <c r="IXQ365" s="34"/>
      <c r="IXR365" s="36"/>
      <c r="IXS365" s="36"/>
      <c r="IXT365" s="37"/>
      <c r="IXU365" s="37"/>
      <c r="IXV365" s="38"/>
      <c r="IXW365" s="38"/>
      <c r="IXX365" s="39"/>
      <c r="IXY365" s="34"/>
      <c r="IXZ365" s="34"/>
      <c r="IYA365" s="34"/>
      <c r="IYB365" s="35"/>
      <c r="IYC365" s="35"/>
      <c r="IYD365" s="35"/>
      <c r="IYE365" s="35"/>
      <c r="IYF365" s="35"/>
      <c r="IYG365" s="34"/>
      <c r="IYH365" s="34"/>
      <c r="IYI365" s="36"/>
      <c r="IYJ365" s="36"/>
      <c r="IYK365" s="37"/>
      <c r="IYL365" s="37"/>
      <c r="IYM365" s="38"/>
      <c r="IYN365" s="38"/>
      <c r="IYO365" s="39"/>
      <c r="IYP365" s="34"/>
      <c r="IYQ365" s="34"/>
      <c r="IYR365" s="34"/>
      <c r="IYS365" s="35"/>
      <c r="IYT365" s="35"/>
      <c r="IYU365" s="35"/>
      <c r="IYV365" s="35"/>
      <c r="IYW365" s="35"/>
      <c r="IYX365" s="34"/>
      <c r="IYY365" s="34"/>
      <c r="IYZ365" s="36"/>
      <c r="IZA365" s="36"/>
      <c r="IZB365" s="37"/>
      <c r="IZC365" s="37"/>
      <c r="IZD365" s="38"/>
      <c r="IZE365" s="38"/>
      <c r="IZF365" s="39"/>
      <c r="IZG365" s="34"/>
      <c r="IZH365" s="34"/>
      <c r="IZI365" s="34"/>
      <c r="IZJ365" s="35"/>
      <c r="IZK365" s="35"/>
      <c r="IZL365" s="35"/>
      <c r="IZM365" s="35"/>
      <c r="IZN365" s="35"/>
      <c r="IZO365" s="34"/>
      <c r="IZP365" s="34"/>
      <c r="IZQ365" s="36"/>
      <c r="IZR365" s="36"/>
      <c r="IZS365" s="37"/>
      <c r="IZT365" s="37"/>
      <c r="IZU365" s="38"/>
      <c r="IZV365" s="38"/>
      <c r="IZW365" s="39"/>
      <c r="IZX365" s="34"/>
      <c r="IZY365" s="34"/>
      <c r="IZZ365" s="34"/>
      <c r="JAA365" s="35"/>
      <c r="JAB365" s="35"/>
      <c r="JAC365" s="35"/>
      <c r="JAD365" s="35"/>
      <c r="JAE365" s="35"/>
      <c r="JAF365" s="34"/>
      <c r="JAG365" s="34"/>
      <c r="JAH365" s="36"/>
      <c r="JAI365" s="36"/>
      <c r="JAJ365" s="37"/>
      <c r="JAK365" s="37"/>
      <c r="JAL365" s="38"/>
      <c r="JAM365" s="38"/>
      <c r="JAN365" s="39"/>
      <c r="JAO365" s="34"/>
      <c r="JAP365" s="34"/>
      <c r="JAQ365" s="34"/>
      <c r="JAR365" s="35"/>
      <c r="JAS365" s="35"/>
      <c r="JAT365" s="35"/>
      <c r="JAU365" s="35"/>
      <c r="JAV365" s="35"/>
      <c r="JAW365" s="34"/>
      <c r="JAX365" s="34"/>
      <c r="JAY365" s="36"/>
      <c r="JAZ365" s="36"/>
      <c r="JBA365" s="37"/>
      <c r="JBB365" s="37"/>
      <c r="JBC365" s="38"/>
      <c r="JBD365" s="38"/>
      <c r="JBE365" s="39"/>
      <c r="JBF365" s="34"/>
      <c r="JBG365" s="34"/>
      <c r="JBH365" s="34"/>
      <c r="JBI365" s="35"/>
      <c r="JBJ365" s="35"/>
      <c r="JBK365" s="35"/>
      <c r="JBL365" s="35"/>
      <c r="JBM365" s="35"/>
      <c r="JBN365" s="34"/>
      <c r="JBO365" s="34"/>
      <c r="JBP365" s="36"/>
      <c r="JBQ365" s="36"/>
      <c r="JBR365" s="37"/>
      <c r="JBS365" s="37"/>
      <c r="JBT365" s="38"/>
      <c r="JBU365" s="38"/>
      <c r="JBV365" s="39"/>
      <c r="JBW365" s="34"/>
      <c r="JBX365" s="34"/>
      <c r="JBY365" s="34"/>
      <c r="JBZ365" s="35"/>
      <c r="JCA365" s="35"/>
      <c r="JCB365" s="35"/>
      <c r="JCC365" s="35"/>
      <c r="JCD365" s="35"/>
      <c r="JCE365" s="34"/>
      <c r="JCF365" s="34"/>
      <c r="JCG365" s="36"/>
      <c r="JCH365" s="36"/>
      <c r="JCI365" s="37"/>
      <c r="JCJ365" s="37"/>
      <c r="JCK365" s="38"/>
      <c r="JCL365" s="38"/>
      <c r="JCM365" s="39"/>
      <c r="JCN365" s="34"/>
      <c r="JCO365" s="34"/>
      <c r="JCP365" s="34"/>
      <c r="JCQ365" s="35"/>
      <c r="JCR365" s="35"/>
      <c r="JCS365" s="35"/>
      <c r="JCT365" s="35"/>
      <c r="JCU365" s="35"/>
      <c r="JCV365" s="34"/>
      <c r="JCW365" s="34"/>
      <c r="JCX365" s="36"/>
      <c r="JCY365" s="36"/>
      <c r="JCZ365" s="37"/>
      <c r="JDA365" s="37"/>
      <c r="JDB365" s="38"/>
      <c r="JDC365" s="38"/>
      <c r="JDD365" s="39"/>
      <c r="JDE365" s="34"/>
      <c r="JDF365" s="34"/>
      <c r="JDG365" s="34"/>
      <c r="JDH365" s="35"/>
      <c r="JDI365" s="35"/>
      <c r="JDJ365" s="35"/>
      <c r="JDK365" s="35"/>
      <c r="JDL365" s="35"/>
      <c r="JDM365" s="34"/>
      <c r="JDN365" s="34"/>
      <c r="JDO365" s="36"/>
      <c r="JDP365" s="36"/>
      <c r="JDQ365" s="37"/>
      <c r="JDR365" s="37"/>
      <c r="JDS365" s="38"/>
      <c r="JDT365" s="38"/>
      <c r="JDU365" s="39"/>
      <c r="JDV365" s="34"/>
      <c r="JDW365" s="34"/>
      <c r="JDX365" s="34"/>
      <c r="JDY365" s="35"/>
      <c r="JDZ365" s="35"/>
      <c r="JEA365" s="35"/>
      <c r="JEB365" s="35"/>
      <c r="JEC365" s="35"/>
      <c r="JED365" s="34"/>
      <c r="JEE365" s="34"/>
      <c r="JEF365" s="36"/>
      <c r="JEG365" s="36"/>
      <c r="JEH365" s="37"/>
      <c r="JEI365" s="37"/>
      <c r="JEJ365" s="38"/>
      <c r="JEK365" s="38"/>
      <c r="JEL365" s="39"/>
      <c r="JEM365" s="34"/>
      <c r="JEN365" s="34"/>
      <c r="JEO365" s="34"/>
      <c r="JEP365" s="35"/>
      <c r="JEQ365" s="35"/>
      <c r="JER365" s="35"/>
      <c r="JES365" s="35"/>
      <c r="JET365" s="35"/>
      <c r="JEU365" s="34"/>
      <c r="JEV365" s="34"/>
      <c r="JEW365" s="36"/>
      <c r="JEX365" s="36"/>
      <c r="JEY365" s="37"/>
      <c r="JEZ365" s="37"/>
      <c r="JFA365" s="38"/>
      <c r="JFB365" s="38"/>
      <c r="JFC365" s="39"/>
      <c r="JFD365" s="34"/>
      <c r="JFE365" s="34"/>
      <c r="JFF365" s="34"/>
      <c r="JFG365" s="35"/>
      <c r="JFH365" s="35"/>
      <c r="JFI365" s="35"/>
      <c r="JFJ365" s="35"/>
      <c r="JFK365" s="35"/>
      <c r="JFL365" s="34"/>
      <c r="JFM365" s="34"/>
      <c r="JFN365" s="36"/>
      <c r="JFO365" s="36"/>
      <c r="JFP365" s="37"/>
      <c r="JFQ365" s="37"/>
      <c r="JFR365" s="38"/>
      <c r="JFS365" s="38"/>
      <c r="JFT365" s="39"/>
      <c r="JFU365" s="34"/>
      <c r="JFV365" s="34"/>
      <c r="JFW365" s="34"/>
      <c r="JFX365" s="35"/>
      <c r="JFY365" s="35"/>
      <c r="JFZ365" s="35"/>
      <c r="JGA365" s="35"/>
      <c r="JGB365" s="35"/>
      <c r="JGC365" s="34"/>
      <c r="JGD365" s="34"/>
      <c r="JGE365" s="36"/>
      <c r="JGF365" s="36"/>
      <c r="JGG365" s="37"/>
      <c r="JGH365" s="37"/>
      <c r="JGI365" s="38"/>
      <c r="JGJ365" s="38"/>
      <c r="JGK365" s="39"/>
      <c r="JGL365" s="34"/>
      <c r="JGM365" s="34"/>
      <c r="JGN365" s="34"/>
      <c r="JGO365" s="35"/>
      <c r="JGP365" s="35"/>
      <c r="JGQ365" s="35"/>
      <c r="JGR365" s="35"/>
      <c r="JGS365" s="35"/>
      <c r="JGT365" s="34"/>
      <c r="JGU365" s="34"/>
      <c r="JGV365" s="36"/>
      <c r="JGW365" s="36"/>
      <c r="JGX365" s="37"/>
      <c r="JGY365" s="37"/>
      <c r="JGZ365" s="38"/>
      <c r="JHA365" s="38"/>
      <c r="JHB365" s="39"/>
      <c r="JHC365" s="34"/>
      <c r="JHD365" s="34"/>
      <c r="JHE365" s="34"/>
      <c r="JHF365" s="35"/>
      <c r="JHG365" s="35"/>
      <c r="JHH365" s="35"/>
      <c r="JHI365" s="35"/>
      <c r="JHJ365" s="35"/>
      <c r="JHK365" s="34"/>
      <c r="JHL365" s="34"/>
      <c r="JHM365" s="36"/>
      <c r="JHN365" s="36"/>
      <c r="JHO365" s="37"/>
      <c r="JHP365" s="37"/>
      <c r="JHQ365" s="38"/>
      <c r="JHR365" s="38"/>
      <c r="JHS365" s="39"/>
      <c r="JHT365" s="34"/>
      <c r="JHU365" s="34"/>
      <c r="JHV365" s="34"/>
      <c r="JHW365" s="35"/>
      <c r="JHX365" s="35"/>
      <c r="JHY365" s="35"/>
      <c r="JHZ365" s="35"/>
      <c r="JIA365" s="35"/>
      <c r="JIB365" s="34"/>
      <c r="JIC365" s="34"/>
      <c r="JID365" s="36"/>
      <c r="JIE365" s="36"/>
      <c r="JIF365" s="37"/>
      <c r="JIG365" s="37"/>
      <c r="JIH365" s="38"/>
      <c r="JII365" s="38"/>
      <c r="JIJ365" s="39"/>
      <c r="JIK365" s="34"/>
      <c r="JIL365" s="34"/>
      <c r="JIM365" s="34"/>
      <c r="JIN365" s="35"/>
      <c r="JIO365" s="35"/>
      <c r="JIP365" s="35"/>
      <c r="JIQ365" s="35"/>
      <c r="JIR365" s="35"/>
      <c r="JIS365" s="34"/>
      <c r="JIT365" s="34"/>
      <c r="JIU365" s="36"/>
      <c r="JIV365" s="36"/>
      <c r="JIW365" s="37"/>
      <c r="JIX365" s="37"/>
      <c r="JIY365" s="38"/>
      <c r="JIZ365" s="38"/>
      <c r="JJA365" s="39"/>
      <c r="JJB365" s="34"/>
      <c r="JJC365" s="34"/>
      <c r="JJD365" s="34"/>
      <c r="JJE365" s="35"/>
      <c r="JJF365" s="35"/>
      <c r="JJG365" s="35"/>
      <c r="JJH365" s="35"/>
      <c r="JJI365" s="35"/>
      <c r="JJJ365" s="34"/>
      <c r="JJK365" s="34"/>
      <c r="JJL365" s="36"/>
      <c r="JJM365" s="36"/>
      <c r="JJN365" s="37"/>
      <c r="JJO365" s="37"/>
      <c r="JJP365" s="38"/>
      <c r="JJQ365" s="38"/>
      <c r="JJR365" s="39"/>
      <c r="JJS365" s="34"/>
      <c r="JJT365" s="34"/>
      <c r="JJU365" s="34"/>
      <c r="JJV365" s="35"/>
      <c r="JJW365" s="35"/>
      <c r="JJX365" s="35"/>
      <c r="JJY365" s="35"/>
      <c r="JJZ365" s="35"/>
      <c r="JKA365" s="34"/>
      <c r="JKB365" s="34"/>
      <c r="JKC365" s="36"/>
      <c r="JKD365" s="36"/>
      <c r="JKE365" s="37"/>
      <c r="JKF365" s="37"/>
      <c r="JKG365" s="38"/>
      <c r="JKH365" s="38"/>
      <c r="JKI365" s="39"/>
      <c r="JKJ365" s="34"/>
      <c r="JKK365" s="34"/>
      <c r="JKL365" s="34"/>
      <c r="JKM365" s="35"/>
      <c r="JKN365" s="35"/>
      <c r="JKO365" s="35"/>
      <c r="JKP365" s="35"/>
      <c r="JKQ365" s="35"/>
      <c r="JKR365" s="34"/>
      <c r="JKS365" s="34"/>
      <c r="JKT365" s="36"/>
      <c r="JKU365" s="36"/>
      <c r="JKV365" s="37"/>
      <c r="JKW365" s="37"/>
      <c r="JKX365" s="38"/>
      <c r="JKY365" s="38"/>
      <c r="JKZ365" s="39"/>
      <c r="JLA365" s="34"/>
      <c r="JLB365" s="34"/>
      <c r="JLC365" s="34"/>
      <c r="JLD365" s="35"/>
      <c r="JLE365" s="35"/>
      <c r="JLF365" s="35"/>
      <c r="JLG365" s="35"/>
      <c r="JLH365" s="35"/>
      <c r="JLI365" s="34"/>
      <c r="JLJ365" s="34"/>
      <c r="JLK365" s="36"/>
      <c r="JLL365" s="36"/>
      <c r="JLM365" s="37"/>
      <c r="JLN365" s="37"/>
      <c r="JLO365" s="38"/>
      <c r="JLP365" s="38"/>
      <c r="JLQ365" s="39"/>
      <c r="JLR365" s="34"/>
      <c r="JLS365" s="34"/>
      <c r="JLT365" s="34"/>
      <c r="JLU365" s="35"/>
      <c r="JLV365" s="35"/>
      <c r="JLW365" s="35"/>
      <c r="JLX365" s="35"/>
      <c r="JLY365" s="35"/>
      <c r="JLZ365" s="34"/>
      <c r="JMA365" s="34"/>
      <c r="JMB365" s="36"/>
      <c r="JMC365" s="36"/>
      <c r="JMD365" s="37"/>
      <c r="JME365" s="37"/>
      <c r="JMF365" s="38"/>
      <c r="JMG365" s="38"/>
      <c r="JMH365" s="39"/>
      <c r="JMI365" s="34"/>
      <c r="JMJ365" s="34"/>
      <c r="JMK365" s="34"/>
      <c r="JML365" s="35"/>
      <c r="JMM365" s="35"/>
      <c r="JMN365" s="35"/>
      <c r="JMO365" s="35"/>
      <c r="JMP365" s="35"/>
      <c r="JMQ365" s="34"/>
      <c r="JMR365" s="34"/>
      <c r="JMS365" s="36"/>
      <c r="JMT365" s="36"/>
      <c r="JMU365" s="37"/>
      <c r="JMV365" s="37"/>
      <c r="JMW365" s="38"/>
      <c r="JMX365" s="38"/>
      <c r="JMY365" s="39"/>
      <c r="JMZ365" s="34"/>
      <c r="JNA365" s="34"/>
      <c r="JNB365" s="34"/>
      <c r="JNC365" s="35"/>
      <c r="JND365" s="35"/>
      <c r="JNE365" s="35"/>
      <c r="JNF365" s="35"/>
      <c r="JNG365" s="35"/>
      <c r="JNH365" s="34"/>
      <c r="JNI365" s="34"/>
      <c r="JNJ365" s="36"/>
      <c r="JNK365" s="36"/>
      <c r="JNL365" s="37"/>
      <c r="JNM365" s="37"/>
      <c r="JNN365" s="38"/>
      <c r="JNO365" s="38"/>
      <c r="JNP365" s="39"/>
      <c r="JNQ365" s="34"/>
      <c r="JNR365" s="34"/>
      <c r="JNS365" s="34"/>
      <c r="JNT365" s="35"/>
      <c r="JNU365" s="35"/>
      <c r="JNV365" s="35"/>
      <c r="JNW365" s="35"/>
      <c r="JNX365" s="35"/>
      <c r="JNY365" s="34"/>
      <c r="JNZ365" s="34"/>
      <c r="JOA365" s="36"/>
      <c r="JOB365" s="36"/>
      <c r="JOC365" s="37"/>
      <c r="JOD365" s="37"/>
      <c r="JOE365" s="38"/>
      <c r="JOF365" s="38"/>
      <c r="JOG365" s="39"/>
      <c r="JOH365" s="34"/>
      <c r="JOI365" s="34"/>
      <c r="JOJ365" s="34"/>
      <c r="JOK365" s="35"/>
      <c r="JOL365" s="35"/>
      <c r="JOM365" s="35"/>
      <c r="JON365" s="35"/>
      <c r="JOO365" s="35"/>
      <c r="JOP365" s="34"/>
      <c r="JOQ365" s="34"/>
      <c r="JOR365" s="36"/>
      <c r="JOS365" s="36"/>
      <c r="JOT365" s="37"/>
      <c r="JOU365" s="37"/>
      <c r="JOV365" s="38"/>
      <c r="JOW365" s="38"/>
      <c r="JOX365" s="39"/>
      <c r="JOY365" s="34"/>
      <c r="JOZ365" s="34"/>
      <c r="JPA365" s="34"/>
      <c r="JPB365" s="35"/>
      <c r="JPC365" s="35"/>
      <c r="JPD365" s="35"/>
      <c r="JPE365" s="35"/>
      <c r="JPF365" s="35"/>
      <c r="JPG365" s="34"/>
      <c r="JPH365" s="34"/>
      <c r="JPI365" s="36"/>
      <c r="JPJ365" s="36"/>
      <c r="JPK365" s="37"/>
      <c r="JPL365" s="37"/>
      <c r="JPM365" s="38"/>
      <c r="JPN365" s="38"/>
      <c r="JPO365" s="39"/>
      <c r="JPP365" s="34"/>
      <c r="JPQ365" s="34"/>
      <c r="JPR365" s="34"/>
      <c r="JPS365" s="35"/>
      <c r="JPT365" s="35"/>
      <c r="JPU365" s="35"/>
      <c r="JPV365" s="35"/>
      <c r="JPW365" s="35"/>
      <c r="JPX365" s="34"/>
      <c r="JPY365" s="34"/>
      <c r="JPZ365" s="36"/>
      <c r="JQA365" s="36"/>
      <c r="JQB365" s="37"/>
      <c r="JQC365" s="37"/>
      <c r="JQD365" s="38"/>
      <c r="JQE365" s="38"/>
      <c r="JQF365" s="39"/>
      <c r="JQG365" s="34"/>
      <c r="JQH365" s="34"/>
      <c r="JQI365" s="34"/>
      <c r="JQJ365" s="35"/>
      <c r="JQK365" s="35"/>
      <c r="JQL365" s="35"/>
      <c r="JQM365" s="35"/>
      <c r="JQN365" s="35"/>
      <c r="JQO365" s="34"/>
      <c r="JQP365" s="34"/>
      <c r="JQQ365" s="36"/>
      <c r="JQR365" s="36"/>
      <c r="JQS365" s="37"/>
      <c r="JQT365" s="37"/>
      <c r="JQU365" s="38"/>
      <c r="JQV365" s="38"/>
      <c r="JQW365" s="39"/>
      <c r="JQX365" s="34"/>
      <c r="JQY365" s="34"/>
      <c r="JQZ365" s="34"/>
      <c r="JRA365" s="35"/>
      <c r="JRB365" s="35"/>
      <c r="JRC365" s="35"/>
      <c r="JRD365" s="35"/>
      <c r="JRE365" s="35"/>
      <c r="JRF365" s="34"/>
      <c r="JRG365" s="34"/>
      <c r="JRH365" s="36"/>
      <c r="JRI365" s="36"/>
      <c r="JRJ365" s="37"/>
      <c r="JRK365" s="37"/>
      <c r="JRL365" s="38"/>
      <c r="JRM365" s="38"/>
      <c r="JRN365" s="39"/>
      <c r="JRO365" s="34"/>
      <c r="JRP365" s="34"/>
      <c r="JRQ365" s="34"/>
      <c r="JRR365" s="35"/>
      <c r="JRS365" s="35"/>
      <c r="JRT365" s="35"/>
      <c r="JRU365" s="35"/>
      <c r="JRV365" s="35"/>
      <c r="JRW365" s="34"/>
      <c r="JRX365" s="34"/>
      <c r="JRY365" s="36"/>
      <c r="JRZ365" s="36"/>
      <c r="JSA365" s="37"/>
      <c r="JSB365" s="37"/>
      <c r="JSC365" s="38"/>
      <c r="JSD365" s="38"/>
      <c r="JSE365" s="39"/>
      <c r="JSF365" s="34"/>
      <c r="JSG365" s="34"/>
      <c r="JSH365" s="34"/>
      <c r="JSI365" s="35"/>
      <c r="JSJ365" s="35"/>
      <c r="JSK365" s="35"/>
      <c r="JSL365" s="35"/>
      <c r="JSM365" s="35"/>
      <c r="JSN365" s="34"/>
      <c r="JSO365" s="34"/>
      <c r="JSP365" s="36"/>
      <c r="JSQ365" s="36"/>
      <c r="JSR365" s="37"/>
      <c r="JSS365" s="37"/>
      <c r="JST365" s="38"/>
      <c r="JSU365" s="38"/>
      <c r="JSV365" s="39"/>
      <c r="JSW365" s="34"/>
      <c r="JSX365" s="34"/>
      <c r="JSY365" s="34"/>
      <c r="JSZ365" s="35"/>
      <c r="JTA365" s="35"/>
      <c r="JTB365" s="35"/>
      <c r="JTC365" s="35"/>
      <c r="JTD365" s="35"/>
      <c r="JTE365" s="34"/>
      <c r="JTF365" s="34"/>
      <c r="JTG365" s="36"/>
      <c r="JTH365" s="36"/>
      <c r="JTI365" s="37"/>
      <c r="JTJ365" s="37"/>
      <c r="JTK365" s="38"/>
      <c r="JTL365" s="38"/>
      <c r="JTM365" s="39"/>
      <c r="JTN365" s="34"/>
      <c r="JTO365" s="34"/>
      <c r="JTP365" s="34"/>
      <c r="JTQ365" s="35"/>
      <c r="JTR365" s="35"/>
      <c r="JTS365" s="35"/>
      <c r="JTT365" s="35"/>
      <c r="JTU365" s="35"/>
      <c r="JTV365" s="34"/>
      <c r="JTW365" s="34"/>
      <c r="JTX365" s="36"/>
      <c r="JTY365" s="36"/>
      <c r="JTZ365" s="37"/>
      <c r="JUA365" s="37"/>
      <c r="JUB365" s="38"/>
      <c r="JUC365" s="38"/>
      <c r="JUD365" s="39"/>
      <c r="JUE365" s="34"/>
      <c r="JUF365" s="34"/>
      <c r="JUG365" s="34"/>
      <c r="JUH365" s="35"/>
      <c r="JUI365" s="35"/>
      <c r="JUJ365" s="35"/>
      <c r="JUK365" s="35"/>
      <c r="JUL365" s="35"/>
      <c r="JUM365" s="34"/>
      <c r="JUN365" s="34"/>
      <c r="JUO365" s="36"/>
      <c r="JUP365" s="36"/>
      <c r="JUQ365" s="37"/>
      <c r="JUR365" s="37"/>
      <c r="JUS365" s="38"/>
      <c r="JUT365" s="38"/>
      <c r="JUU365" s="39"/>
      <c r="JUV365" s="34"/>
      <c r="JUW365" s="34"/>
      <c r="JUX365" s="34"/>
      <c r="JUY365" s="35"/>
      <c r="JUZ365" s="35"/>
      <c r="JVA365" s="35"/>
      <c r="JVB365" s="35"/>
      <c r="JVC365" s="35"/>
      <c r="JVD365" s="34"/>
      <c r="JVE365" s="34"/>
      <c r="JVF365" s="36"/>
      <c r="JVG365" s="36"/>
      <c r="JVH365" s="37"/>
      <c r="JVI365" s="37"/>
      <c r="JVJ365" s="38"/>
      <c r="JVK365" s="38"/>
      <c r="JVL365" s="39"/>
      <c r="JVM365" s="34"/>
      <c r="JVN365" s="34"/>
      <c r="JVO365" s="34"/>
      <c r="JVP365" s="35"/>
      <c r="JVQ365" s="35"/>
      <c r="JVR365" s="35"/>
      <c r="JVS365" s="35"/>
      <c r="JVT365" s="35"/>
      <c r="JVU365" s="34"/>
      <c r="JVV365" s="34"/>
      <c r="JVW365" s="36"/>
      <c r="JVX365" s="36"/>
      <c r="JVY365" s="37"/>
      <c r="JVZ365" s="37"/>
      <c r="JWA365" s="38"/>
      <c r="JWB365" s="38"/>
      <c r="JWC365" s="39"/>
      <c r="JWD365" s="34"/>
      <c r="JWE365" s="34"/>
      <c r="JWF365" s="34"/>
      <c r="JWG365" s="35"/>
      <c r="JWH365" s="35"/>
      <c r="JWI365" s="35"/>
      <c r="JWJ365" s="35"/>
      <c r="JWK365" s="35"/>
      <c r="JWL365" s="34"/>
      <c r="JWM365" s="34"/>
      <c r="JWN365" s="36"/>
      <c r="JWO365" s="36"/>
      <c r="JWP365" s="37"/>
      <c r="JWQ365" s="37"/>
      <c r="JWR365" s="38"/>
      <c r="JWS365" s="38"/>
      <c r="JWT365" s="39"/>
      <c r="JWU365" s="34"/>
      <c r="JWV365" s="34"/>
      <c r="JWW365" s="34"/>
      <c r="JWX365" s="35"/>
      <c r="JWY365" s="35"/>
      <c r="JWZ365" s="35"/>
      <c r="JXA365" s="35"/>
      <c r="JXB365" s="35"/>
      <c r="JXC365" s="34"/>
      <c r="JXD365" s="34"/>
      <c r="JXE365" s="36"/>
      <c r="JXF365" s="36"/>
      <c r="JXG365" s="37"/>
      <c r="JXH365" s="37"/>
      <c r="JXI365" s="38"/>
      <c r="JXJ365" s="38"/>
      <c r="JXK365" s="39"/>
      <c r="JXL365" s="34"/>
      <c r="JXM365" s="34"/>
      <c r="JXN365" s="34"/>
      <c r="JXO365" s="35"/>
      <c r="JXP365" s="35"/>
      <c r="JXQ365" s="35"/>
      <c r="JXR365" s="35"/>
      <c r="JXS365" s="35"/>
      <c r="JXT365" s="34"/>
      <c r="JXU365" s="34"/>
      <c r="JXV365" s="36"/>
      <c r="JXW365" s="36"/>
      <c r="JXX365" s="37"/>
      <c r="JXY365" s="37"/>
      <c r="JXZ365" s="38"/>
      <c r="JYA365" s="38"/>
      <c r="JYB365" s="39"/>
      <c r="JYC365" s="34"/>
      <c r="JYD365" s="34"/>
      <c r="JYE365" s="34"/>
      <c r="JYF365" s="35"/>
      <c r="JYG365" s="35"/>
      <c r="JYH365" s="35"/>
      <c r="JYI365" s="35"/>
      <c r="JYJ365" s="35"/>
      <c r="JYK365" s="34"/>
      <c r="JYL365" s="34"/>
      <c r="JYM365" s="36"/>
      <c r="JYN365" s="36"/>
      <c r="JYO365" s="37"/>
      <c r="JYP365" s="37"/>
      <c r="JYQ365" s="38"/>
      <c r="JYR365" s="38"/>
      <c r="JYS365" s="39"/>
      <c r="JYT365" s="34"/>
      <c r="JYU365" s="34"/>
      <c r="JYV365" s="34"/>
      <c r="JYW365" s="35"/>
      <c r="JYX365" s="35"/>
      <c r="JYY365" s="35"/>
      <c r="JYZ365" s="35"/>
      <c r="JZA365" s="35"/>
      <c r="JZB365" s="34"/>
      <c r="JZC365" s="34"/>
      <c r="JZD365" s="36"/>
      <c r="JZE365" s="36"/>
      <c r="JZF365" s="37"/>
      <c r="JZG365" s="37"/>
      <c r="JZH365" s="38"/>
      <c r="JZI365" s="38"/>
      <c r="JZJ365" s="39"/>
      <c r="JZK365" s="34"/>
      <c r="JZL365" s="34"/>
      <c r="JZM365" s="34"/>
      <c r="JZN365" s="35"/>
      <c r="JZO365" s="35"/>
      <c r="JZP365" s="35"/>
      <c r="JZQ365" s="35"/>
      <c r="JZR365" s="35"/>
      <c r="JZS365" s="34"/>
      <c r="JZT365" s="34"/>
      <c r="JZU365" s="36"/>
      <c r="JZV365" s="36"/>
      <c r="JZW365" s="37"/>
      <c r="JZX365" s="37"/>
      <c r="JZY365" s="38"/>
      <c r="JZZ365" s="38"/>
      <c r="KAA365" s="39"/>
      <c r="KAB365" s="34"/>
      <c r="KAC365" s="34"/>
      <c r="KAD365" s="34"/>
      <c r="KAE365" s="35"/>
      <c r="KAF365" s="35"/>
      <c r="KAG365" s="35"/>
      <c r="KAH365" s="35"/>
      <c r="KAI365" s="35"/>
      <c r="KAJ365" s="34"/>
      <c r="KAK365" s="34"/>
      <c r="KAL365" s="36"/>
      <c r="KAM365" s="36"/>
      <c r="KAN365" s="37"/>
      <c r="KAO365" s="37"/>
      <c r="KAP365" s="38"/>
      <c r="KAQ365" s="38"/>
      <c r="KAR365" s="39"/>
      <c r="KAS365" s="34"/>
      <c r="KAT365" s="34"/>
      <c r="KAU365" s="34"/>
      <c r="KAV365" s="35"/>
      <c r="KAW365" s="35"/>
      <c r="KAX365" s="35"/>
      <c r="KAY365" s="35"/>
      <c r="KAZ365" s="35"/>
      <c r="KBA365" s="34"/>
      <c r="KBB365" s="34"/>
      <c r="KBC365" s="36"/>
      <c r="KBD365" s="36"/>
      <c r="KBE365" s="37"/>
      <c r="KBF365" s="37"/>
      <c r="KBG365" s="38"/>
      <c r="KBH365" s="38"/>
      <c r="KBI365" s="39"/>
      <c r="KBJ365" s="34"/>
      <c r="KBK365" s="34"/>
      <c r="KBL365" s="34"/>
      <c r="KBM365" s="35"/>
      <c r="KBN365" s="35"/>
      <c r="KBO365" s="35"/>
      <c r="KBP365" s="35"/>
      <c r="KBQ365" s="35"/>
      <c r="KBR365" s="34"/>
      <c r="KBS365" s="34"/>
      <c r="KBT365" s="36"/>
      <c r="KBU365" s="36"/>
      <c r="KBV365" s="37"/>
      <c r="KBW365" s="37"/>
      <c r="KBX365" s="38"/>
      <c r="KBY365" s="38"/>
      <c r="KBZ365" s="39"/>
      <c r="KCA365" s="34"/>
      <c r="KCB365" s="34"/>
      <c r="KCC365" s="34"/>
      <c r="KCD365" s="35"/>
      <c r="KCE365" s="35"/>
      <c r="KCF365" s="35"/>
      <c r="KCG365" s="35"/>
      <c r="KCH365" s="35"/>
      <c r="KCI365" s="34"/>
      <c r="KCJ365" s="34"/>
      <c r="KCK365" s="36"/>
      <c r="KCL365" s="36"/>
      <c r="KCM365" s="37"/>
      <c r="KCN365" s="37"/>
      <c r="KCO365" s="38"/>
      <c r="KCP365" s="38"/>
      <c r="KCQ365" s="39"/>
      <c r="KCR365" s="34"/>
      <c r="KCS365" s="34"/>
      <c r="KCT365" s="34"/>
      <c r="KCU365" s="35"/>
      <c r="KCV365" s="35"/>
      <c r="KCW365" s="35"/>
      <c r="KCX365" s="35"/>
      <c r="KCY365" s="35"/>
      <c r="KCZ365" s="34"/>
      <c r="KDA365" s="34"/>
      <c r="KDB365" s="36"/>
      <c r="KDC365" s="36"/>
      <c r="KDD365" s="37"/>
      <c r="KDE365" s="37"/>
      <c r="KDF365" s="38"/>
      <c r="KDG365" s="38"/>
      <c r="KDH365" s="39"/>
      <c r="KDI365" s="34"/>
      <c r="KDJ365" s="34"/>
      <c r="KDK365" s="34"/>
      <c r="KDL365" s="35"/>
      <c r="KDM365" s="35"/>
      <c r="KDN365" s="35"/>
      <c r="KDO365" s="35"/>
      <c r="KDP365" s="35"/>
      <c r="KDQ365" s="34"/>
      <c r="KDR365" s="34"/>
      <c r="KDS365" s="36"/>
      <c r="KDT365" s="36"/>
      <c r="KDU365" s="37"/>
      <c r="KDV365" s="37"/>
      <c r="KDW365" s="38"/>
      <c r="KDX365" s="38"/>
      <c r="KDY365" s="39"/>
      <c r="KDZ365" s="34"/>
      <c r="KEA365" s="34"/>
      <c r="KEB365" s="34"/>
      <c r="KEC365" s="35"/>
      <c r="KED365" s="35"/>
      <c r="KEE365" s="35"/>
      <c r="KEF365" s="35"/>
      <c r="KEG365" s="35"/>
      <c r="KEH365" s="34"/>
      <c r="KEI365" s="34"/>
      <c r="KEJ365" s="36"/>
      <c r="KEK365" s="36"/>
      <c r="KEL365" s="37"/>
      <c r="KEM365" s="37"/>
      <c r="KEN365" s="38"/>
      <c r="KEO365" s="38"/>
      <c r="KEP365" s="39"/>
      <c r="KEQ365" s="34"/>
      <c r="KER365" s="34"/>
      <c r="KES365" s="34"/>
      <c r="KET365" s="35"/>
      <c r="KEU365" s="35"/>
      <c r="KEV365" s="35"/>
      <c r="KEW365" s="35"/>
      <c r="KEX365" s="35"/>
      <c r="KEY365" s="34"/>
      <c r="KEZ365" s="34"/>
      <c r="KFA365" s="36"/>
      <c r="KFB365" s="36"/>
      <c r="KFC365" s="37"/>
      <c r="KFD365" s="37"/>
      <c r="KFE365" s="38"/>
      <c r="KFF365" s="38"/>
      <c r="KFG365" s="39"/>
      <c r="KFH365" s="34"/>
      <c r="KFI365" s="34"/>
      <c r="KFJ365" s="34"/>
      <c r="KFK365" s="35"/>
      <c r="KFL365" s="35"/>
      <c r="KFM365" s="35"/>
      <c r="KFN365" s="35"/>
      <c r="KFO365" s="35"/>
      <c r="KFP365" s="34"/>
      <c r="KFQ365" s="34"/>
      <c r="KFR365" s="36"/>
      <c r="KFS365" s="36"/>
      <c r="KFT365" s="37"/>
      <c r="KFU365" s="37"/>
      <c r="KFV365" s="38"/>
      <c r="KFW365" s="38"/>
      <c r="KFX365" s="39"/>
      <c r="KFY365" s="34"/>
      <c r="KFZ365" s="34"/>
      <c r="KGA365" s="34"/>
      <c r="KGB365" s="35"/>
      <c r="KGC365" s="35"/>
      <c r="KGD365" s="35"/>
      <c r="KGE365" s="35"/>
      <c r="KGF365" s="35"/>
      <c r="KGG365" s="34"/>
      <c r="KGH365" s="34"/>
      <c r="KGI365" s="36"/>
      <c r="KGJ365" s="36"/>
      <c r="KGK365" s="37"/>
      <c r="KGL365" s="37"/>
      <c r="KGM365" s="38"/>
      <c r="KGN365" s="38"/>
      <c r="KGO365" s="39"/>
      <c r="KGP365" s="34"/>
      <c r="KGQ365" s="34"/>
      <c r="KGR365" s="34"/>
      <c r="KGS365" s="35"/>
      <c r="KGT365" s="35"/>
      <c r="KGU365" s="35"/>
      <c r="KGV365" s="35"/>
      <c r="KGW365" s="35"/>
      <c r="KGX365" s="34"/>
      <c r="KGY365" s="34"/>
      <c r="KGZ365" s="36"/>
      <c r="KHA365" s="36"/>
      <c r="KHB365" s="37"/>
      <c r="KHC365" s="37"/>
      <c r="KHD365" s="38"/>
      <c r="KHE365" s="38"/>
      <c r="KHF365" s="39"/>
      <c r="KHG365" s="34"/>
      <c r="KHH365" s="34"/>
      <c r="KHI365" s="34"/>
      <c r="KHJ365" s="35"/>
      <c r="KHK365" s="35"/>
      <c r="KHL365" s="35"/>
      <c r="KHM365" s="35"/>
      <c r="KHN365" s="35"/>
      <c r="KHO365" s="34"/>
      <c r="KHP365" s="34"/>
      <c r="KHQ365" s="36"/>
      <c r="KHR365" s="36"/>
      <c r="KHS365" s="37"/>
      <c r="KHT365" s="37"/>
      <c r="KHU365" s="38"/>
      <c r="KHV365" s="38"/>
      <c r="KHW365" s="39"/>
      <c r="KHX365" s="34"/>
      <c r="KHY365" s="34"/>
      <c r="KHZ365" s="34"/>
      <c r="KIA365" s="35"/>
      <c r="KIB365" s="35"/>
      <c r="KIC365" s="35"/>
      <c r="KID365" s="35"/>
      <c r="KIE365" s="35"/>
      <c r="KIF365" s="34"/>
      <c r="KIG365" s="34"/>
      <c r="KIH365" s="36"/>
      <c r="KII365" s="36"/>
      <c r="KIJ365" s="37"/>
      <c r="KIK365" s="37"/>
      <c r="KIL365" s="38"/>
      <c r="KIM365" s="38"/>
      <c r="KIN365" s="39"/>
      <c r="KIO365" s="34"/>
      <c r="KIP365" s="34"/>
      <c r="KIQ365" s="34"/>
      <c r="KIR365" s="35"/>
      <c r="KIS365" s="35"/>
      <c r="KIT365" s="35"/>
      <c r="KIU365" s="35"/>
      <c r="KIV365" s="35"/>
      <c r="KIW365" s="34"/>
      <c r="KIX365" s="34"/>
      <c r="KIY365" s="36"/>
      <c r="KIZ365" s="36"/>
      <c r="KJA365" s="37"/>
      <c r="KJB365" s="37"/>
      <c r="KJC365" s="38"/>
      <c r="KJD365" s="38"/>
      <c r="KJE365" s="39"/>
      <c r="KJF365" s="34"/>
      <c r="KJG365" s="34"/>
      <c r="KJH365" s="34"/>
      <c r="KJI365" s="35"/>
      <c r="KJJ365" s="35"/>
      <c r="KJK365" s="35"/>
      <c r="KJL365" s="35"/>
      <c r="KJM365" s="35"/>
      <c r="KJN365" s="34"/>
      <c r="KJO365" s="34"/>
      <c r="KJP365" s="36"/>
      <c r="KJQ365" s="36"/>
      <c r="KJR365" s="37"/>
      <c r="KJS365" s="37"/>
      <c r="KJT365" s="38"/>
      <c r="KJU365" s="38"/>
      <c r="KJV365" s="39"/>
      <c r="KJW365" s="34"/>
      <c r="KJX365" s="34"/>
      <c r="KJY365" s="34"/>
      <c r="KJZ365" s="35"/>
      <c r="KKA365" s="35"/>
      <c r="KKB365" s="35"/>
      <c r="KKC365" s="35"/>
      <c r="KKD365" s="35"/>
      <c r="KKE365" s="34"/>
      <c r="KKF365" s="34"/>
      <c r="KKG365" s="36"/>
      <c r="KKH365" s="36"/>
      <c r="KKI365" s="37"/>
      <c r="KKJ365" s="37"/>
      <c r="KKK365" s="38"/>
      <c r="KKL365" s="38"/>
      <c r="KKM365" s="39"/>
      <c r="KKN365" s="34"/>
      <c r="KKO365" s="34"/>
      <c r="KKP365" s="34"/>
      <c r="KKQ365" s="35"/>
      <c r="KKR365" s="35"/>
      <c r="KKS365" s="35"/>
      <c r="KKT365" s="35"/>
      <c r="KKU365" s="35"/>
      <c r="KKV365" s="34"/>
      <c r="KKW365" s="34"/>
      <c r="KKX365" s="36"/>
      <c r="KKY365" s="36"/>
      <c r="KKZ365" s="37"/>
      <c r="KLA365" s="37"/>
      <c r="KLB365" s="38"/>
      <c r="KLC365" s="38"/>
      <c r="KLD365" s="39"/>
      <c r="KLE365" s="34"/>
      <c r="KLF365" s="34"/>
      <c r="KLG365" s="34"/>
      <c r="KLH365" s="35"/>
      <c r="KLI365" s="35"/>
      <c r="KLJ365" s="35"/>
      <c r="KLK365" s="35"/>
      <c r="KLL365" s="35"/>
      <c r="KLM365" s="34"/>
      <c r="KLN365" s="34"/>
      <c r="KLO365" s="36"/>
      <c r="KLP365" s="36"/>
      <c r="KLQ365" s="37"/>
      <c r="KLR365" s="37"/>
      <c r="KLS365" s="38"/>
      <c r="KLT365" s="38"/>
      <c r="KLU365" s="39"/>
      <c r="KLV365" s="34"/>
      <c r="KLW365" s="34"/>
      <c r="KLX365" s="34"/>
      <c r="KLY365" s="35"/>
      <c r="KLZ365" s="35"/>
      <c r="KMA365" s="35"/>
      <c r="KMB365" s="35"/>
      <c r="KMC365" s="35"/>
      <c r="KMD365" s="34"/>
      <c r="KME365" s="34"/>
      <c r="KMF365" s="36"/>
      <c r="KMG365" s="36"/>
      <c r="KMH365" s="37"/>
      <c r="KMI365" s="37"/>
      <c r="KMJ365" s="38"/>
      <c r="KMK365" s="38"/>
      <c r="KML365" s="39"/>
      <c r="KMM365" s="34"/>
      <c r="KMN365" s="34"/>
      <c r="KMO365" s="34"/>
      <c r="KMP365" s="35"/>
      <c r="KMQ365" s="35"/>
      <c r="KMR365" s="35"/>
      <c r="KMS365" s="35"/>
      <c r="KMT365" s="35"/>
      <c r="KMU365" s="34"/>
      <c r="KMV365" s="34"/>
      <c r="KMW365" s="36"/>
      <c r="KMX365" s="36"/>
      <c r="KMY365" s="37"/>
      <c r="KMZ365" s="37"/>
      <c r="KNA365" s="38"/>
      <c r="KNB365" s="38"/>
      <c r="KNC365" s="39"/>
      <c r="KND365" s="34"/>
      <c r="KNE365" s="34"/>
      <c r="KNF365" s="34"/>
      <c r="KNG365" s="35"/>
      <c r="KNH365" s="35"/>
      <c r="KNI365" s="35"/>
      <c r="KNJ365" s="35"/>
      <c r="KNK365" s="35"/>
      <c r="KNL365" s="34"/>
      <c r="KNM365" s="34"/>
      <c r="KNN365" s="36"/>
      <c r="KNO365" s="36"/>
      <c r="KNP365" s="37"/>
      <c r="KNQ365" s="37"/>
      <c r="KNR365" s="38"/>
      <c r="KNS365" s="38"/>
      <c r="KNT365" s="39"/>
      <c r="KNU365" s="34"/>
      <c r="KNV365" s="34"/>
      <c r="KNW365" s="34"/>
      <c r="KNX365" s="35"/>
      <c r="KNY365" s="35"/>
      <c r="KNZ365" s="35"/>
      <c r="KOA365" s="35"/>
      <c r="KOB365" s="35"/>
      <c r="KOC365" s="34"/>
      <c r="KOD365" s="34"/>
      <c r="KOE365" s="36"/>
      <c r="KOF365" s="36"/>
      <c r="KOG365" s="37"/>
      <c r="KOH365" s="37"/>
      <c r="KOI365" s="38"/>
      <c r="KOJ365" s="38"/>
      <c r="KOK365" s="39"/>
      <c r="KOL365" s="34"/>
      <c r="KOM365" s="34"/>
      <c r="KON365" s="34"/>
      <c r="KOO365" s="35"/>
      <c r="KOP365" s="35"/>
      <c r="KOQ365" s="35"/>
      <c r="KOR365" s="35"/>
      <c r="KOS365" s="35"/>
      <c r="KOT365" s="34"/>
      <c r="KOU365" s="34"/>
      <c r="KOV365" s="36"/>
      <c r="KOW365" s="36"/>
      <c r="KOX365" s="37"/>
      <c r="KOY365" s="37"/>
      <c r="KOZ365" s="38"/>
      <c r="KPA365" s="38"/>
      <c r="KPB365" s="39"/>
      <c r="KPC365" s="34"/>
      <c r="KPD365" s="34"/>
      <c r="KPE365" s="34"/>
      <c r="KPF365" s="35"/>
      <c r="KPG365" s="35"/>
      <c r="KPH365" s="35"/>
      <c r="KPI365" s="35"/>
      <c r="KPJ365" s="35"/>
      <c r="KPK365" s="34"/>
      <c r="KPL365" s="34"/>
      <c r="KPM365" s="36"/>
      <c r="KPN365" s="36"/>
      <c r="KPO365" s="37"/>
      <c r="KPP365" s="37"/>
      <c r="KPQ365" s="38"/>
      <c r="KPR365" s="38"/>
      <c r="KPS365" s="39"/>
      <c r="KPT365" s="34"/>
      <c r="KPU365" s="34"/>
      <c r="KPV365" s="34"/>
      <c r="KPW365" s="35"/>
      <c r="KPX365" s="35"/>
      <c r="KPY365" s="35"/>
      <c r="KPZ365" s="35"/>
      <c r="KQA365" s="35"/>
      <c r="KQB365" s="34"/>
      <c r="KQC365" s="34"/>
      <c r="KQD365" s="36"/>
      <c r="KQE365" s="36"/>
      <c r="KQF365" s="37"/>
      <c r="KQG365" s="37"/>
      <c r="KQH365" s="38"/>
      <c r="KQI365" s="38"/>
      <c r="KQJ365" s="39"/>
      <c r="KQK365" s="34"/>
      <c r="KQL365" s="34"/>
      <c r="KQM365" s="34"/>
      <c r="KQN365" s="35"/>
      <c r="KQO365" s="35"/>
      <c r="KQP365" s="35"/>
      <c r="KQQ365" s="35"/>
      <c r="KQR365" s="35"/>
      <c r="KQS365" s="34"/>
      <c r="KQT365" s="34"/>
      <c r="KQU365" s="36"/>
      <c r="KQV365" s="36"/>
      <c r="KQW365" s="37"/>
      <c r="KQX365" s="37"/>
      <c r="KQY365" s="38"/>
      <c r="KQZ365" s="38"/>
      <c r="KRA365" s="39"/>
      <c r="KRB365" s="34"/>
      <c r="KRC365" s="34"/>
      <c r="KRD365" s="34"/>
      <c r="KRE365" s="35"/>
      <c r="KRF365" s="35"/>
      <c r="KRG365" s="35"/>
      <c r="KRH365" s="35"/>
      <c r="KRI365" s="35"/>
      <c r="KRJ365" s="34"/>
      <c r="KRK365" s="34"/>
      <c r="KRL365" s="36"/>
      <c r="KRM365" s="36"/>
      <c r="KRN365" s="37"/>
      <c r="KRO365" s="37"/>
      <c r="KRP365" s="38"/>
      <c r="KRQ365" s="38"/>
      <c r="KRR365" s="39"/>
      <c r="KRS365" s="34"/>
      <c r="KRT365" s="34"/>
      <c r="KRU365" s="34"/>
      <c r="KRV365" s="35"/>
      <c r="KRW365" s="35"/>
      <c r="KRX365" s="35"/>
      <c r="KRY365" s="35"/>
      <c r="KRZ365" s="35"/>
      <c r="KSA365" s="34"/>
      <c r="KSB365" s="34"/>
      <c r="KSC365" s="36"/>
      <c r="KSD365" s="36"/>
      <c r="KSE365" s="37"/>
      <c r="KSF365" s="37"/>
      <c r="KSG365" s="38"/>
      <c r="KSH365" s="38"/>
      <c r="KSI365" s="39"/>
      <c r="KSJ365" s="34"/>
      <c r="KSK365" s="34"/>
      <c r="KSL365" s="34"/>
      <c r="KSM365" s="35"/>
      <c r="KSN365" s="35"/>
      <c r="KSO365" s="35"/>
      <c r="KSP365" s="35"/>
      <c r="KSQ365" s="35"/>
      <c r="KSR365" s="34"/>
      <c r="KSS365" s="34"/>
      <c r="KST365" s="36"/>
      <c r="KSU365" s="36"/>
      <c r="KSV365" s="37"/>
      <c r="KSW365" s="37"/>
      <c r="KSX365" s="38"/>
      <c r="KSY365" s="38"/>
      <c r="KSZ365" s="39"/>
      <c r="KTA365" s="34"/>
      <c r="KTB365" s="34"/>
      <c r="KTC365" s="34"/>
      <c r="KTD365" s="35"/>
      <c r="KTE365" s="35"/>
      <c r="KTF365" s="35"/>
      <c r="KTG365" s="35"/>
      <c r="KTH365" s="35"/>
      <c r="KTI365" s="34"/>
      <c r="KTJ365" s="34"/>
      <c r="KTK365" s="36"/>
      <c r="KTL365" s="36"/>
      <c r="KTM365" s="37"/>
      <c r="KTN365" s="37"/>
      <c r="KTO365" s="38"/>
      <c r="KTP365" s="38"/>
      <c r="KTQ365" s="39"/>
      <c r="KTR365" s="34"/>
      <c r="KTS365" s="34"/>
      <c r="KTT365" s="34"/>
      <c r="KTU365" s="35"/>
      <c r="KTV365" s="35"/>
      <c r="KTW365" s="35"/>
      <c r="KTX365" s="35"/>
      <c r="KTY365" s="35"/>
      <c r="KTZ365" s="34"/>
      <c r="KUA365" s="34"/>
      <c r="KUB365" s="36"/>
      <c r="KUC365" s="36"/>
      <c r="KUD365" s="37"/>
      <c r="KUE365" s="37"/>
      <c r="KUF365" s="38"/>
      <c r="KUG365" s="38"/>
      <c r="KUH365" s="39"/>
      <c r="KUI365" s="34"/>
      <c r="KUJ365" s="34"/>
      <c r="KUK365" s="34"/>
      <c r="KUL365" s="35"/>
      <c r="KUM365" s="35"/>
      <c r="KUN365" s="35"/>
      <c r="KUO365" s="35"/>
      <c r="KUP365" s="35"/>
      <c r="KUQ365" s="34"/>
      <c r="KUR365" s="34"/>
      <c r="KUS365" s="36"/>
      <c r="KUT365" s="36"/>
      <c r="KUU365" s="37"/>
      <c r="KUV365" s="37"/>
      <c r="KUW365" s="38"/>
      <c r="KUX365" s="38"/>
      <c r="KUY365" s="39"/>
      <c r="KUZ365" s="34"/>
      <c r="KVA365" s="34"/>
      <c r="KVB365" s="34"/>
      <c r="KVC365" s="35"/>
      <c r="KVD365" s="35"/>
      <c r="KVE365" s="35"/>
      <c r="KVF365" s="35"/>
      <c r="KVG365" s="35"/>
      <c r="KVH365" s="34"/>
      <c r="KVI365" s="34"/>
      <c r="KVJ365" s="36"/>
      <c r="KVK365" s="36"/>
      <c r="KVL365" s="37"/>
      <c r="KVM365" s="37"/>
      <c r="KVN365" s="38"/>
      <c r="KVO365" s="38"/>
      <c r="KVP365" s="39"/>
      <c r="KVQ365" s="34"/>
      <c r="KVR365" s="34"/>
      <c r="KVS365" s="34"/>
      <c r="KVT365" s="35"/>
      <c r="KVU365" s="35"/>
      <c r="KVV365" s="35"/>
      <c r="KVW365" s="35"/>
      <c r="KVX365" s="35"/>
      <c r="KVY365" s="34"/>
      <c r="KVZ365" s="34"/>
      <c r="KWA365" s="36"/>
      <c r="KWB365" s="36"/>
      <c r="KWC365" s="37"/>
      <c r="KWD365" s="37"/>
      <c r="KWE365" s="38"/>
      <c r="KWF365" s="38"/>
      <c r="KWG365" s="39"/>
      <c r="KWH365" s="34"/>
      <c r="KWI365" s="34"/>
      <c r="KWJ365" s="34"/>
      <c r="KWK365" s="35"/>
      <c r="KWL365" s="35"/>
      <c r="KWM365" s="35"/>
      <c r="KWN365" s="35"/>
      <c r="KWO365" s="35"/>
      <c r="KWP365" s="34"/>
      <c r="KWQ365" s="34"/>
      <c r="KWR365" s="36"/>
      <c r="KWS365" s="36"/>
      <c r="KWT365" s="37"/>
      <c r="KWU365" s="37"/>
      <c r="KWV365" s="38"/>
      <c r="KWW365" s="38"/>
      <c r="KWX365" s="39"/>
      <c r="KWY365" s="34"/>
      <c r="KWZ365" s="34"/>
      <c r="KXA365" s="34"/>
      <c r="KXB365" s="35"/>
      <c r="KXC365" s="35"/>
      <c r="KXD365" s="35"/>
      <c r="KXE365" s="35"/>
      <c r="KXF365" s="35"/>
      <c r="KXG365" s="34"/>
      <c r="KXH365" s="34"/>
      <c r="KXI365" s="36"/>
      <c r="KXJ365" s="36"/>
      <c r="KXK365" s="37"/>
      <c r="KXL365" s="37"/>
      <c r="KXM365" s="38"/>
      <c r="KXN365" s="38"/>
      <c r="KXO365" s="39"/>
      <c r="KXP365" s="34"/>
      <c r="KXQ365" s="34"/>
      <c r="KXR365" s="34"/>
      <c r="KXS365" s="35"/>
      <c r="KXT365" s="35"/>
      <c r="KXU365" s="35"/>
      <c r="KXV365" s="35"/>
      <c r="KXW365" s="35"/>
      <c r="KXX365" s="34"/>
      <c r="KXY365" s="34"/>
      <c r="KXZ365" s="36"/>
      <c r="KYA365" s="36"/>
      <c r="KYB365" s="37"/>
      <c r="KYC365" s="37"/>
      <c r="KYD365" s="38"/>
      <c r="KYE365" s="38"/>
      <c r="KYF365" s="39"/>
      <c r="KYG365" s="34"/>
      <c r="KYH365" s="34"/>
      <c r="KYI365" s="34"/>
      <c r="KYJ365" s="35"/>
      <c r="KYK365" s="35"/>
      <c r="KYL365" s="35"/>
      <c r="KYM365" s="35"/>
      <c r="KYN365" s="35"/>
      <c r="KYO365" s="34"/>
      <c r="KYP365" s="34"/>
      <c r="KYQ365" s="36"/>
      <c r="KYR365" s="36"/>
      <c r="KYS365" s="37"/>
      <c r="KYT365" s="37"/>
      <c r="KYU365" s="38"/>
      <c r="KYV365" s="38"/>
      <c r="KYW365" s="39"/>
      <c r="KYX365" s="34"/>
      <c r="KYY365" s="34"/>
      <c r="KYZ365" s="34"/>
      <c r="KZA365" s="35"/>
      <c r="KZB365" s="35"/>
      <c r="KZC365" s="35"/>
      <c r="KZD365" s="35"/>
      <c r="KZE365" s="35"/>
      <c r="KZF365" s="34"/>
      <c r="KZG365" s="34"/>
      <c r="KZH365" s="36"/>
      <c r="KZI365" s="36"/>
      <c r="KZJ365" s="37"/>
      <c r="KZK365" s="37"/>
      <c r="KZL365" s="38"/>
      <c r="KZM365" s="38"/>
      <c r="KZN365" s="39"/>
      <c r="KZO365" s="34"/>
      <c r="KZP365" s="34"/>
      <c r="KZQ365" s="34"/>
      <c r="KZR365" s="35"/>
      <c r="KZS365" s="35"/>
      <c r="KZT365" s="35"/>
      <c r="KZU365" s="35"/>
      <c r="KZV365" s="35"/>
      <c r="KZW365" s="34"/>
      <c r="KZX365" s="34"/>
      <c r="KZY365" s="36"/>
      <c r="KZZ365" s="36"/>
      <c r="LAA365" s="37"/>
      <c r="LAB365" s="37"/>
      <c r="LAC365" s="38"/>
      <c r="LAD365" s="38"/>
      <c r="LAE365" s="39"/>
      <c r="LAF365" s="34"/>
      <c r="LAG365" s="34"/>
      <c r="LAH365" s="34"/>
      <c r="LAI365" s="35"/>
      <c r="LAJ365" s="35"/>
      <c r="LAK365" s="35"/>
      <c r="LAL365" s="35"/>
      <c r="LAM365" s="35"/>
      <c r="LAN365" s="34"/>
      <c r="LAO365" s="34"/>
      <c r="LAP365" s="36"/>
      <c r="LAQ365" s="36"/>
      <c r="LAR365" s="37"/>
      <c r="LAS365" s="37"/>
      <c r="LAT365" s="38"/>
      <c r="LAU365" s="38"/>
      <c r="LAV365" s="39"/>
      <c r="LAW365" s="34"/>
      <c r="LAX365" s="34"/>
      <c r="LAY365" s="34"/>
      <c r="LAZ365" s="35"/>
      <c r="LBA365" s="35"/>
      <c r="LBB365" s="35"/>
      <c r="LBC365" s="35"/>
      <c r="LBD365" s="35"/>
      <c r="LBE365" s="34"/>
      <c r="LBF365" s="34"/>
      <c r="LBG365" s="36"/>
      <c r="LBH365" s="36"/>
      <c r="LBI365" s="37"/>
      <c r="LBJ365" s="37"/>
      <c r="LBK365" s="38"/>
      <c r="LBL365" s="38"/>
      <c r="LBM365" s="39"/>
      <c r="LBN365" s="34"/>
      <c r="LBO365" s="34"/>
      <c r="LBP365" s="34"/>
      <c r="LBQ365" s="35"/>
      <c r="LBR365" s="35"/>
      <c r="LBS365" s="35"/>
      <c r="LBT365" s="35"/>
      <c r="LBU365" s="35"/>
      <c r="LBV365" s="34"/>
      <c r="LBW365" s="34"/>
      <c r="LBX365" s="36"/>
      <c r="LBY365" s="36"/>
      <c r="LBZ365" s="37"/>
      <c r="LCA365" s="37"/>
      <c r="LCB365" s="38"/>
      <c r="LCC365" s="38"/>
      <c r="LCD365" s="39"/>
      <c r="LCE365" s="34"/>
      <c r="LCF365" s="34"/>
      <c r="LCG365" s="34"/>
      <c r="LCH365" s="35"/>
      <c r="LCI365" s="35"/>
      <c r="LCJ365" s="35"/>
      <c r="LCK365" s="35"/>
      <c r="LCL365" s="35"/>
      <c r="LCM365" s="34"/>
      <c r="LCN365" s="34"/>
      <c r="LCO365" s="36"/>
      <c r="LCP365" s="36"/>
      <c r="LCQ365" s="37"/>
      <c r="LCR365" s="37"/>
      <c r="LCS365" s="38"/>
      <c r="LCT365" s="38"/>
      <c r="LCU365" s="39"/>
      <c r="LCV365" s="34"/>
      <c r="LCW365" s="34"/>
      <c r="LCX365" s="34"/>
      <c r="LCY365" s="35"/>
      <c r="LCZ365" s="35"/>
      <c r="LDA365" s="35"/>
      <c r="LDB365" s="35"/>
      <c r="LDC365" s="35"/>
      <c r="LDD365" s="34"/>
      <c r="LDE365" s="34"/>
      <c r="LDF365" s="36"/>
      <c r="LDG365" s="36"/>
      <c r="LDH365" s="37"/>
      <c r="LDI365" s="37"/>
      <c r="LDJ365" s="38"/>
      <c r="LDK365" s="38"/>
      <c r="LDL365" s="39"/>
      <c r="LDM365" s="34"/>
      <c r="LDN365" s="34"/>
      <c r="LDO365" s="34"/>
      <c r="LDP365" s="35"/>
      <c r="LDQ365" s="35"/>
      <c r="LDR365" s="35"/>
      <c r="LDS365" s="35"/>
      <c r="LDT365" s="35"/>
      <c r="LDU365" s="34"/>
      <c r="LDV365" s="34"/>
      <c r="LDW365" s="36"/>
      <c r="LDX365" s="36"/>
      <c r="LDY365" s="37"/>
      <c r="LDZ365" s="37"/>
      <c r="LEA365" s="38"/>
      <c r="LEB365" s="38"/>
      <c r="LEC365" s="39"/>
      <c r="LED365" s="34"/>
      <c r="LEE365" s="34"/>
      <c r="LEF365" s="34"/>
      <c r="LEG365" s="35"/>
      <c r="LEH365" s="35"/>
      <c r="LEI365" s="35"/>
      <c r="LEJ365" s="35"/>
      <c r="LEK365" s="35"/>
      <c r="LEL365" s="34"/>
      <c r="LEM365" s="34"/>
      <c r="LEN365" s="36"/>
      <c r="LEO365" s="36"/>
      <c r="LEP365" s="37"/>
      <c r="LEQ365" s="37"/>
      <c r="LER365" s="38"/>
      <c r="LES365" s="38"/>
      <c r="LET365" s="39"/>
      <c r="LEU365" s="34"/>
      <c r="LEV365" s="34"/>
      <c r="LEW365" s="34"/>
      <c r="LEX365" s="35"/>
      <c r="LEY365" s="35"/>
      <c r="LEZ365" s="35"/>
      <c r="LFA365" s="35"/>
      <c r="LFB365" s="35"/>
      <c r="LFC365" s="34"/>
      <c r="LFD365" s="34"/>
      <c r="LFE365" s="36"/>
      <c r="LFF365" s="36"/>
      <c r="LFG365" s="37"/>
      <c r="LFH365" s="37"/>
      <c r="LFI365" s="38"/>
      <c r="LFJ365" s="38"/>
      <c r="LFK365" s="39"/>
      <c r="LFL365" s="34"/>
      <c r="LFM365" s="34"/>
      <c r="LFN365" s="34"/>
      <c r="LFO365" s="35"/>
      <c r="LFP365" s="35"/>
      <c r="LFQ365" s="35"/>
      <c r="LFR365" s="35"/>
      <c r="LFS365" s="35"/>
      <c r="LFT365" s="34"/>
      <c r="LFU365" s="34"/>
      <c r="LFV365" s="36"/>
      <c r="LFW365" s="36"/>
      <c r="LFX365" s="37"/>
      <c r="LFY365" s="37"/>
      <c r="LFZ365" s="38"/>
      <c r="LGA365" s="38"/>
      <c r="LGB365" s="39"/>
      <c r="LGC365" s="34"/>
      <c r="LGD365" s="34"/>
      <c r="LGE365" s="34"/>
      <c r="LGF365" s="35"/>
      <c r="LGG365" s="35"/>
      <c r="LGH365" s="35"/>
      <c r="LGI365" s="35"/>
      <c r="LGJ365" s="35"/>
      <c r="LGK365" s="34"/>
      <c r="LGL365" s="34"/>
      <c r="LGM365" s="36"/>
      <c r="LGN365" s="36"/>
      <c r="LGO365" s="37"/>
      <c r="LGP365" s="37"/>
      <c r="LGQ365" s="38"/>
      <c r="LGR365" s="38"/>
      <c r="LGS365" s="39"/>
      <c r="LGT365" s="34"/>
      <c r="LGU365" s="34"/>
      <c r="LGV365" s="34"/>
      <c r="LGW365" s="35"/>
      <c r="LGX365" s="35"/>
      <c r="LGY365" s="35"/>
      <c r="LGZ365" s="35"/>
      <c r="LHA365" s="35"/>
      <c r="LHB365" s="34"/>
      <c r="LHC365" s="34"/>
      <c r="LHD365" s="36"/>
      <c r="LHE365" s="36"/>
      <c r="LHF365" s="37"/>
      <c r="LHG365" s="37"/>
      <c r="LHH365" s="38"/>
      <c r="LHI365" s="38"/>
      <c r="LHJ365" s="39"/>
      <c r="LHK365" s="34"/>
      <c r="LHL365" s="34"/>
      <c r="LHM365" s="34"/>
      <c r="LHN365" s="35"/>
      <c r="LHO365" s="35"/>
      <c r="LHP365" s="35"/>
      <c r="LHQ365" s="35"/>
      <c r="LHR365" s="35"/>
      <c r="LHS365" s="34"/>
      <c r="LHT365" s="34"/>
      <c r="LHU365" s="36"/>
      <c r="LHV365" s="36"/>
      <c r="LHW365" s="37"/>
      <c r="LHX365" s="37"/>
      <c r="LHY365" s="38"/>
      <c r="LHZ365" s="38"/>
      <c r="LIA365" s="39"/>
      <c r="LIB365" s="34"/>
      <c r="LIC365" s="34"/>
      <c r="LID365" s="34"/>
      <c r="LIE365" s="35"/>
      <c r="LIF365" s="35"/>
      <c r="LIG365" s="35"/>
      <c r="LIH365" s="35"/>
      <c r="LII365" s="35"/>
      <c r="LIJ365" s="34"/>
      <c r="LIK365" s="34"/>
      <c r="LIL365" s="36"/>
      <c r="LIM365" s="36"/>
      <c r="LIN365" s="37"/>
      <c r="LIO365" s="37"/>
      <c r="LIP365" s="38"/>
      <c r="LIQ365" s="38"/>
      <c r="LIR365" s="39"/>
      <c r="LIS365" s="34"/>
      <c r="LIT365" s="34"/>
      <c r="LIU365" s="34"/>
      <c r="LIV365" s="35"/>
      <c r="LIW365" s="35"/>
      <c r="LIX365" s="35"/>
      <c r="LIY365" s="35"/>
      <c r="LIZ365" s="35"/>
      <c r="LJA365" s="34"/>
      <c r="LJB365" s="34"/>
      <c r="LJC365" s="36"/>
      <c r="LJD365" s="36"/>
      <c r="LJE365" s="37"/>
      <c r="LJF365" s="37"/>
      <c r="LJG365" s="38"/>
      <c r="LJH365" s="38"/>
      <c r="LJI365" s="39"/>
      <c r="LJJ365" s="34"/>
      <c r="LJK365" s="34"/>
      <c r="LJL365" s="34"/>
      <c r="LJM365" s="35"/>
      <c r="LJN365" s="35"/>
      <c r="LJO365" s="35"/>
      <c r="LJP365" s="35"/>
      <c r="LJQ365" s="35"/>
      <c r="LJR365" s="34"/>
      <c r="LJS365" s="34"/>
      <c r="LJT365" s="36"/>
      <c r="LJU365" s="36"/>
      <c r="LJV365" s="37"/>
      <c r="LJW365" s="37"/>
      <c r="LJX365" s="38"/>
      <c r="LJY365" s="38"/>
      <c r="LJZ365" s="39"/>
      <c r="LKA365" s="34"/>
      <c r="LKB365" s="34"/>
      <c r="LKC365" s="34"/>
      <c r="LKD365" s="35"/>
      <c r="LKE365" s="35"/>
      <c r="LKF365" s="35"/>
      <c r="LKG365" s="35"/>
      <c r="LKH365" s="35"/>
      <c r="LKI365" s="34"/>
      <c r="LKJ365" s="34"/>
      <c r="LKK365" s="36"/>
      <c r="LKL365" s="36"/>
      <c r="LKM365" s="37"/>
      <c r="LKN365" s="37"/>
      <c r="LKO365" s="38"/>
      <c r="LKP365" s="38"/>
      <c r="LKQ365" s="39"/>
      <c r="LKR365" s="34"/>
      <c r="LKS365" s="34"/>
      <c r="LKT365" s="34"/>
      <c r="LKU365" s="35"/>
      <c r="LKV365" s="35"/>
      <c r="LKW365" s="35"/>
      <c r="LKX365" s="35"/>
      <c r="LKY365" s="35"/>
      <c r="LKZ365" s="34"/>
      <c r="LLA365" s="34"/>
      <c r="LLB365" s="36"/>
      <c r="LLC365" s="36"/>
      <c r="LLD365" s="37"/>
      <c r="LLE365" s="37"/>
      <c r="LLF365" s="38"/>
      <c r="LLG365" s="38"/>
      <c r="LLH365" s="39"/>
      <c r="LLI365" s="34"/>
      <c r="LLJ365" s="34"/>
      <c r="LLK365" s="34"/>
      <c r="LLL365" s="35"/>
      <c r="LLM365" s="35"/>
      <c r="LLN365" s="35"/>
      <c r="LLO365" s="35"/>
      <c r="LLP365" s="35"/>
      <c r="LLQ365" s="34"/>
      <c r="LLR365" s="34"/>
      <c r="LLS365" s="36"/>
      <c r="LLT365" s="36"/>
      <c r="LLU365" s="37"/>
      <c r="LLV365" s="37"/>
      <c r="LLW365" s="38"/>
      <c r="LLX365" s="38"/>
      <c r="LLY365" s="39"/>
      <c r="LLZ365" s="34"/>
      <c r="LMA365" s="34"/>
      <c r="LMB365" s="34"/>
      <c r="LMC365" s="35"/>
      <c r="LMD365" s="35"/>
      <c r="LME365" s="35"/>
      <c r="LMF365" s="35"/>
      <c r="LMG365" s="35"/>
      <c r="LMH365" s="34"/>
      <c r="LMI365" s="34"/>
      <c r="LMJ365" s="36"/>
      <c r="LMK365" s="36"/>
      <c r="LML365" s="37"/>
      <c r="LMM365" s="37"/>
      <c r="LMN365" s="38"/>
      <c r="LMO365" s="38"/>
      <c r="LMP365" s="39"/>
      <c r="LMQ365" s="34"/>
      <c r="LMR365" s="34"/>
      <c r="LMS365" s="34"/>
      <c r="LMT365" s="35"/>
      <c r="LMU365" s="35"/>
      <c r="LMV365" s="35"/>
      <c r="LMW365" s="35"/>
      <c r="LMX365" s="35"/>
      <c r="LMY365" s="34"/>
      <c r="LMZ365" s="34"/>
      <c r="LNA365" s="36"/>
      <c r="LNB365" s="36"/>
      <c r="LNC365" s="37"/>
      <c r="LND365" s="37"/>
      <c r="LNE365" s="38"/>
      <c r="LNF365" s="38"/>
      <c r="LNG365" s="39"/>
      <c r="LNH365" s="34"/>
      <c r="LNI365" s="34"/>
      <c r="LNJ365" s="34"/>
      <c r="LNK365" s="35"/>
      <c r="LNL365" s="35"/>
      <c r="LNM365" s="35"/>
      <c r="LNN365" s="35"/>
      <c r="LNO365" s="35"/>
      <c r="LNP365" s="34"/>
      <c r="LNQ365" s="34"/>
      <c r="LNR365" s="36"/>
      <c r="LNS365" s="36"/>
      <c r="LNT365" s="37"/>
      <c r="LNU365" s="37"/>
      <c r="LNV365" s="38"/>
      <c r="LNW365" s="38"/>
      <c r="LNX365" s="39"/>
      <c r="LNY365" s="34"/>
      <c r="LNZ365" s="34"/>
      <c r="LOA365" s="34"/>
      <c r="LOB365" s="35"/>
      <c r="LOC365" s="35"/>
      <c r="LOD365" s="35"/>
      <c r="LOE365" s="35"/>
      <c r="LOF365" s="35"/>
      <c r="LOG365" s="34"/>
      <c r="LOH365" s="34"/>
      <c r="LOI365" s="36"/>
      <c r="LOJ365" s="36"/>
      <c r="LOK365" s="37"/>
      <c r="LOL365" s="37"/>
      <c r="LOM365" s="38"/>
      <c r="LON365" s="38"/>
      <c r="LOO365" s="39"/>
      <c r="LOP365" s="34"/>
      <c r="LOQ365" s="34"/>
      <c r="LOR365" s="34"/>
      <c r="LOS365" s="35"/>
      <c r="LOT365" s="35"/>
      <c r="LOU365" s="35"/>
      <c r="LOV365" s="35"/>
      <c r="LOW365" s="35"/>
      <c r="LOX365" s="34"/>
      <c r="LOY365" s="34"/>
      <c r="LOZ365" s="36"/>
      <c r="LPA365" s="36"/>
      <c r="LPB365" s="37"/>
      <c r="LPC365" s="37"/>
      <c r="LPD365" s="38"/>
      <c r="LPE365" s="38"/>
      <c r="LPF365" s="39"/>
      <c r="LPG365" s="34"/>
      <c r="LPH365" s="34"/>
      <c r="LPI365" s="34"/>
      <c r="LPJ365" s="35"/>
      <c r="LPK365" s="35"/>
      <c r="LPL365" s="35"/>
      <c r="LPM365" s="35"/>
      <c r="LPN365" s="35"/>
      <c r="LPO365" s="34"/>
      <c r="LPP365" s="34"/>
      <c r="LPQ365" s="36"/>
      <c r="LPR365" s="36"/>
      <c r="LPS365" s="37"/>
      <c r="LPT365" s="37"/>
      <c r="LPU365" s="38"/>
      <c r="LPV365" s="38"/>
      <c r="LPW365" s="39"/>
      <c r="LPX365" s="34"/>
      <c r="LPY365" s="34"/>
      <c r="LPZ365" s="34"/>
      <c r="LQA365" s="35"/>
      <c r="LQB365" s="35"/>
      <c r="LQC365" s="35"/>
      <c r="LQD365" s="35"/>
      <c r="LQE365" s="35"/>
      <c r="LQF365" s="34"/>
      <c r="LQG365" s="34"/>
      <c r="LQH365" s="36"/>
      <c r="LQI365" s="36"/>
      <c r="LQJ365" s="37"/>
      <c r="LQK365" s="37"/>
      <c r="LQL365" s="38"/>
      <c r="LQM365" s="38"/>
      <c r="LQN365" s="39"/>
      <c r="LQO365" s="34"/>
      <c r="LQP365" s="34"/>
      <c r="LQQ365" s="34"/>
      <c r="LQR365" s="35"/>
      <c r="LQS365" s="35"/>
      <c r="LQT365" s="35"/>
      <c r="LQU365" s="35"/>
      <c r="LQV365" s="35"/>
      <c r="LQW365" s="34"/>
      <c r="LQX365" s="34"/>
      <c r="LQY365" s="36"/>
      <c r="LQZ365" s="36"/>
      <c r="LRA365" s="37"/>
      <c r="LRB365" s="37"/>
      <c r="LRC365" s="38"/>
      <c r="LRD365" s="38"/>
      <c r="LRE365" s="39"/>
      <c r="LRF365" s="34"/>
      <c r="LRG365" s="34"/>
      <c r="LRH365" s="34"/>
      <c r="LRI365" s="35"/>
      <c r="LRJ365" s="35"/>
      <c r="LRK365" s="35"/>
      <c r="LRL365" s="35"/>
      <c r="LRM365" s="35"/>
      <c r="LRN365" s="34"/>
      <c r="LRO365" s="34"/>
      <c r="LRP365" s="36"/>
      <c r="LRQ365" s="36"/>
      <c r="LRR365" s="37"/>
      <c r="LRS365" s="37"/>
      <c r="LRT365" s="38"/>
      <c r="LRU365" s="38"/>
      <c r="LRV365" s="39"/>
      <c r="LRW365" s="34"/>
      <c r="LRX365" s="34"/>
      <c r="LRY365" s="34"/>
      <c r="LRZ365" s="35"/>
      <c r="LSA365" s="35"/>
      <c r="LSB365" s="35"/>
      <c r="LSC365" s="35"/>
      <c r="LSD365" s="35"/>
      <c r="LSE365" s="34"/>
      <c r="LSF365" s="34"/>
      <c r="LSG365" s="36"/>
      <c r="LSH365" s="36"/>
      <c r="LSI365" s="37"/>
      <c r="LSJ365" s="37"/>
      <c r="LSK365" s="38"/>
      <c r="LSL365" s="38"/>
      <c r="LSM365" s="39"/>
      <c r="LSN365" s="34"/>
      <c r="LSO365" s="34"/>
      <c r="LSP365" s="34"/>
      <c r="LSQ365" s="35"/>
      <c r="LSR365" s="35"/>
      <c r="LSS365" s="35"/>
      <c r="LST365" s="35"/>
      <c r="LSU365" s="35"/>
      <c r="LSV365" s="34"/>
      <c r="LSW365" s="34"/>
      <c r="LSX365" s="36"/>
      <c r="LSY365" s="36"/>
      <c r="LSZ365" s="37"/>
      <c r="LTA365" s="37"/>
      <c r="LTB365" s="38"/>
      <c r="LTC365" s="38"/>
      <c r="LTD365" s="39"/>
      <c r="LTE365" s="34"/>
      <c r="LTF365" s="34"/>
      <c r="LTG365" s="34"/>
      <c r="LTH365" s="35"/>
      <c r="LTI365" s="35"/>
      <c r="LTJ365" s="35"/>
      <c r="LTK365" s="35"/>
      <c r="LTL365" s="35"/>
      <c r="LTM365" s="34"/>
      <c r="LTN365" s="34"/>
      <c r="LTO365" s="36"/>
      <c r="LTP365" s="36"/>
      <c r="LTQ365" s="37"/>
      <c r="LTR365" s="37"/>
      <c r="LTS365" s="38"/>
      <c r="LTT365" s="38"/>
      <c r="LTU365" s="39"/>
      <c r="LTV365" s="34"/>
      <c r="LTW365" s="34"/>
      <c r="LTX365" s="34"/>
      <c r="LTY365" s="35"/>
      <c r="LTZ365" s="35"/>
      <c r="LUA365" s="35"/>
      <c r="LUB365" s="35"/>
      <c r="LUC365" s="35"/>
      <c r="LUD365" s="34"/>
      <c r="LUE365" s="34"/>
      <c r="LUF365" s="36"/>
      <c r="LUG365" s="36"/>
      <c r="LUH365" s="37"/>
      <c r="LUI365" s="37"/>
      <c r="LUJ365" s="38"/>
      <c r="LUK365" s="38"/>
      <c r="LUL365" s="39"/>
      <c r="LUM365" s="34"/>
      <c r="LUN365" s="34"/>
      <c r="LUO365" s="34"/>
      <c r="LUP365" s="35"/>
      <c r="LUQ365" s="35"/>
      <c r="LUR365" s="35"/>
      <c r="LUS365" s="35"/>
      <c r="LUT365" s="35"/>
      <c r="LUU365" s="34"/>
      <c r="LUV365" s="34"/>
      <c r="LUW365" s="36"/>
      <c r="LUX365" s="36"/>
      <c r="LUY365" s="37"/>
      <c r="LUZ365" s="37"/>
      <c r="LVA365" s="38"/>
      <c r="LVB365" s="38"/>
      <c r="LVC365" s="39"/>
      <c r="LVD365" s="34"/>
      <c r="LVE365" s="34"/>
      <c r="LVF365" s="34"/>
      <c r="LVG365" s="35"/>
      <c r="LVH365" s="35"/>
      <c r="LVI365" s="35"/>
      <c r="LVJ365" s="35"/>
      <c r="LVK365" s="35"/>
      <c r="LVL365" s="34"/>
      <c r="LVM365" s="34"/>
      <c r="LVN365" s="36"/>
      <c r="LVO365" s="36"/>
      <c r="LVP365" s="37"/>
      <c r="LVQ365" s="37"/>
      <c r="LVR365" s="38"/>
      <c r="LVS365" s="38"/>
      <c r="LVT365" s="39"/>
      <c r="LVU365" s="34"/>
      <c r="LVV365" s="34"/>
      <c r="LVW365" s="34"/>
      <c r="LVX365" s="35"/>
      <c r="LVY365" s="35"/>
      <c r="LVZ365" s="35"/>
      <c r="LWA365" s="35"/>
      <c r="LWB365" s="35"/>
      <c r="LWC365" s="34"/>
      <c r="LWD365" s="34"/>
      <c r="LWE365" s="36"/>
      <c r="LWF365" s="36"/>
      <c r="LWG365" s="37"/>
      <c r="LWH365" s="37"/>
      <c r="LWI365" s="38"/>
      <c r="LWJ365" s="38"/>
      <c r="LWK365" s="39"/>
      <c r="LWL365" s="34"/>
      <c r="LWM365" s="34"/>
      <c r="LWN365" s="34"/>
      <c r="LWO365" s="35"/>
      <c r="LWP365" s="35"/>
      <c r="LWQ365" s="35"/>
      <c r="LWR365" s="35"/>
      <c r="LWS365" s="35"/>
      <c r="LWT365" s="34"/>
      <c r="LWU365" s="34"/>
      <c r="LWV365" s="36"/>
      <c r="LWW365" s="36"/>
      <c r="LWX365" s="37"/>
      <c r="LWY365" s="37"/>
      <c r="LWZ365" s="38"/>
      <c r="LXA365" s="38"/>
      <c r="LXB365" s="39"/>
      <c r="LXC365" s="34"/>
      <c r="LXD365" s="34"/>
      <c r="LXE365" s="34"/>
      <c r="LXF365" s="35"/>
      <c r="LXG365" s="35"/>
      <c r="LXH365" s="35"/>
      <c r="LXI365" s="35"/>
      <c r="LXJ365" s="35"/>
      <c r="LXK365" s="34"/>
      <c r="LXL365" s="34"/>
      <c r="LXM365" s="36"/>
      <c r="LXN365" s="36"/>
      <c r="LXO365" s="37"/>
      <c r="LXP365" s="37"/>
      <c r="LXQ365" s="38"/>
      <c r="LXR365" s="38"/>
      <c r="LXS365" s="39"/>
      <c r="LXT365" s="34"/>
      <c r="LXU365" s="34"/>
      <c r="LXV365" s="34"/>
      <c r="LXW365" s="35"/>
      <c r="LXX365" s="35"/>
      <c r="LXY365" s="35"/>
      <c r="LXZ365" s="35"/>
      <c r="LYA365" s="35"/>
      <c r="LYB365" s="34"/>
      <c r="LYC365" s="34"/>
      <c r="LYD365" s="36"/>
      <c r="LYE365" s="36"/>
      <c r="LYF365" s="37"/>
      <c r="LYG365" s="37"/>
      <c r="LYH365" s="38"/>
      <c r="LYI365" s="38"/>
      <c r="LYJ365" s="39"/>
      <c r="LYK365" s="34"/>
      <c r="LYL365" s="34"/>
      <c r="LYM365" s="34"/>
      <c r="LYN365" s="35"/>
      <c r="LYO365" s="35"/>
      <c r="LYP365" s="35"/>
      <c r="LYQ365" s="35"/>
      <c r="LYR365" s="35"/>
      <c r="LYS365" s="34"/>
      <c r="LYT365" s="34"/>
      <c r="LYU365" s="36"/>
      <c r="LYV365" s="36"/>
      <c r="LYW365" s="37"/>
      <c r="LYX365" s="37"/>
      <c r="LYY365" s="38"/>
      <c r="LYZ365" s="38"/>
      <c r="LZA365" s="39"/>
      <c r="LZB365" s="34"/>
      <c r="LZC365" s="34"/>
      <c r="LZD365" s="34"/>
      <c r="LZE365" s="35"/>
      <c r="LZF365" s="35"/>
      <c r="LZG365" s="35"/>
      <c r="LZH365" s="35"/>
      <c r="LZI365" s="35"/>
      <c r="LZJ365" s="34"/>
      <c r="LZK365" s="34"/>
      <c r="LZL365" s="36"/>
      <c r="LZM365" s="36"/>
      <c r="LZN365" s="37"/>
      <c r="LZO365" s="37"/>
      <c r="LZP365" s="38"/>
      <c r="LZQ365" s="38"/>
      <c r="LZR365" s="39"/>
      <c r="LZS365" s="34"/>
      <c r="LZT365" s="34"/>
      <c r="LZU365" s="34"/>
      <c r="LZV365" s="35"/>
      <c r="LZW365" s="35"/>
      <c r="LZX365" s="35"/>
      <c r="LZY365" s="35"/>
      <c r="LZZ365" s="35"/>
      <c r="MAA365" s="34"/>
      <c r="MAB365" s="34"/>
      <c r="MAC365" s="36"/>
      <c r="MAD365" s="36"/>
      <c r="MAE365" s="37"/>
      <c r="MAF365" s="37"/>
      <c r="MAG365" s="38"/>
      <c r="MAH365" s="38"/>
      <c r="MAI365" s="39"/>
      <c r="MAJ365" s="34"/>
      <c r="MAK365" s="34"/>
      <c r="MAL365" s="34"/>
      <c r="MAM365" s="35"/>
      <c r="MAN365" s="35"/>
      <c r="MAO365" s="35"/>
      <c r="MAP365" s="35"/>
      <c r="MAQ365" s="35"/>
      <c r="MAR365" s="34"/>
      <c r="MAS365" s="34"/>
      <c r="MAT365" s="36"/>
      <c r="MAU365" s="36"/>
      <c r="MAV365" s="37"/>
      <c r="MAW365" s="37"/>
      <c r="MAX365" s="38"/>
      <c r="MAY365" s="38"/>
      <c r="MAZ365" s="39"/>
      <c r="MBA365" s="34"/>
      <c r="MBB365" s="34"/>
      <c r="MBC365" s="34"/>
      <c r="MBD365" s="35"/>
      <c r="MBE365" s="35"/>
      <c r="MBF365" s="35"/>
      <c r="MBG365" s="35"/>
      <c r="MBH365" s="35"/>
      <c r="MBI365" s="34"/>
      <c r="MBJ365" s="34"/>
      <c r="MBK365" s="36"/>
      <c r="MBL365" s="36"/>
      <c r="MBM365" s="37"/>
      <c r="MBN365" s="37"/>
      <c r="MBO365" s="38"/>
      <c r="MBP365" s="38"/>
      <c r="MBQ365" s="39"/>
      <c r="MBR365" s="34"/>
      <c r="MBS365" s="34"/>
      <c r="MBT365" s="34"/>
      <c r="MBU365" s="35"/>
      <c r="MBV365" s="35"/>
      <c r="MBW365" s="35"/>
      <c r="MBX365" s="35"/>
      <c r="MBY365" s="35"/>
      <c r="MBZ365" s="34"/>
      <c r="MCA365" s="34"/>
      <c r="MCB365" s="36"/>
      <c r="MCC365" s="36"/>
      <c r="MCD365" s="37"/>
      <c r="MCE365" s="37"/>
      <c r="MCF365" s="38"/>
      <c r="MCG365" s="38"/>
      <c r="MCH365" s="39"/>
      <c r="MCI365" s="34"/>
      <c r="MCJ365" s="34"/>
      <c r="MCK365" s="34"/>
      <c r="MCL365" s="35"/>
      <c r="MCM365" s="35"/>
      <c r="MCN365" s="35"/>
      <c r="MCO365" s="35"/>
      <c r="MCP365" s="35"/>
      <c r="MCQ365" s="34"/>
      <c r="MCR365" s="34"/>
      <c r="MCS365" s="36"/>
      <c r="MCT365" s="36"/>
      <c r="MCU365" s="37"/>
      <c r="MCV365" s="37"/>
      <c r="MCW365" s="38"/>
      <c r="MCX365" s="38"/>
      <c r="MCY365" s="39"/>
      <c r="MCZ365" s="34"/>
      <c r="MDA365" s="34"/>
      <c r="MDB365" s="34"/>
      <c r="MDC365" s="35"/>
      <c r="MDD365" s="35"/>
      <c r="MDE365" s="35"/>
      <c r="MDF365" s="35"/>
      <c r="MDG365" s="35"/>
      <c r="MDH365" s="34"/>
      <c r="MDI365" s="34"/>
      <c r="MDJ365" s="36"/>
      <c r="MDK365" s="36"/>
      <c r="MDL365" s="37"/>
      <c r="MDM365" s="37"/>
      <c r="MDN365" s="38"/>
      <c r="MDO365" s="38"/>
      <c r="MDP365" s="39"/>
      <c r="MDQ365" s="34"/>
      <c r="MDR365" s="34"/>
      <c r="MDS365" s="34"/>
      <c r="MDT365" s="35"/>
      <c r="MDU365" s="35"/>
      <c r="MDV365" s="35"/>
      <c r="MDW365" s="35"/>
      <c r="MDX365" s="35"/>
      <c r="MDY365" s="34"/>
      <c r="MDZ365" s="34"/>
      <c r="MEA365" s="36"/>
      <c r="MEB365" s="36"/>
      <c r="MEC365" s="37"/>
      <c r="MED365" s="37"/>
      <c r="MEE365" s="38"/>
      <c r="MEF365" s="38"/>
      <c r="MEG365" s="39"/>
      <c r="MEH365" s="34"/>
      <c r="MEI365" s="34"/>
      <c r="MEJ365" s="34"/>
      <c r="MEK365" s="35"/>
      <c r="MEL365" s="35"/>
      <c r="MEM365" s="35"/>
      <c r="MEN365" s="35"/>
      <c r="MEO365" s="35"/>
      <c r="MEP365" s="34"/>
      <c r="MEQ365" s="34"/>
      <c r="MER365" s="36"/>
      <c r="MES365" s="36"/>
      <c r="MET365" s="37"/>
      <c r="MEU365" s="37"/>
      <c r="MEV365" s="38"/>
      <c r="MEW365" s="38"/>
      <c r="MEX365" s="39"/>
      <c r="MEY365" s="34"/>
      <c r="MEZ365" s="34"/>
      <c r="MFA365" s="34"/>
      <c r="MFB365" s="35"/>
      <c r="MFC365" s="35"/>
      <c r="MFD365" s="35"/>
      <c r="MFE365" s="35"/>
      <c r="MFF365" s="35"/>
      <c r="MFG365" s="34"/>
      <c r="MFH365" s="34"/>
      <c r="MFI365" s="36"/>
      <c r="MFJ365" s="36"/>
      <c r="MFK365" s="37"/>
      <c r="MFL365" s="37"/>
      <c r="MFM365" s="38"/>
      <c r="MFN365" s="38"/>
      <c r="MFO365" s="39"/>
      <c r="MFP365" s="34"/>
      <c r="MFQ365" s="34"/>
      <c r="MFR365" s="34"/>
      <c r="MFS365" s="35"/>
      <c r="MFT365" s="35"/>
      <c r="MFU365" s="35"/>
      <c r="MFV365" s="35"/>
      <c r="MFW365" s="35"/>
      <c r="MFX365" s="34"/>
      <c r="MFY365" s="34"/>
      <c r="MFZ365" s="36"/>
      <c r="MGA365" s="36"/>
      <c r="MGB365" s="37"/>
      <c r="MGC365" s="37"/>
      <c r="MGD365" s="38"/>
      <c r="MGE365" s="38"/>
      <c r="MGF365" s="39"/>
      <c r="MGG365" s="34"/>
      <c r="MGH365" s="34"/>
      <c r="MGI365" s="34"/>
      <c r="MGJ365" s="35"/>
      <c r="MGK365" s="35"/>
      <c r="MGL365" s="35"/>
      <c r="MGM365" s="35"/>
      <c r="MGN365" s="35"/>
      <c r="MGO365" s="34"/>
      <c r="MGP365" s="34"/>
      <c r="MGQ365" s="36"/>
      <c r="MGR365" s="36"/>
      <c r="MGS365" s="37"/>
      <c r="MGT365" s="37"/>
      <c r="MGU365" s="38"/>
      <c r="MGV365" s="38"/>
      <c r="MGW365" s="39"/>
      <c r="MGX365" s="34"/>
      <c r="MGY365" s="34"/>
      <c r="MGZ365" s="34"/>
      <c r="MHA365" s="35"/>
      <c r="MHB365" s="35"/>
      <c r="MHC365" s="35"/>
      <c r="MHD365" s="35"/>
      <c r="MHE365" s="35"/>
      <c r="MHF365" s="34"/>
      <c r="MHG365" s="34"/>
      <c r="MHH365" s="36"/>
      <c r="MHI365" s="36"/>
      <c r="MHJ365" s="37"/>
      <c r="MHK365" s="37"/>
      <c r="MHL365" s="38"/>
      <c r="MHM365" s="38"/>
      <c r="MHN365" s="39"/>
      <c r="MHO365" s="34"/>
      <c r="MHP365" s="34"/>
      <c r="MHQ365" s="34"/>
      <c r="MHR365" s="35"/>
      <c r="MHS365" s="35"/>
      <c r="MHT365" s="35"/>
      <c r="MHU365" s="35"/>
      <c r="MHV365" s="35"/>
      <c r="MHW365" s="34"/>
      <c r="MHX365" s="34"/>
      <c r="MHY365" s="36"/>
      <c r="MHZ365" s="36"/>
      <c r="MIA365" s="37"/>
      <c r="MIB365" s="37"/>
      <c r="MIC365" s="38"/>
      <c r="MID365" s="38"/>
      <c r="MIE365" s="39"/>
      <c r="MIF365" s="34"/>
      <c r="MIG365" s="34"/>
      <c r="MIH365" s="34"/>
      <c r="MII365" s="35"/>
      <c r="MIJ365" s="35"/>
      <c r="MIK365" s="35"/>
      <c r="MIL365" s="35"/>
      <c r="MIM365" s="35"/>
      <c r="MIN365" s="34"/>
      <c r="MIO365" s="34"/>
      <c r="MIP365" s="36"/>
      <c r="MIQ365" s="36"/>
      <c r="MIR365" s="37"/>
      <c r="MIS365" s="37"/>
      <c r="MIT365" s="38"/>
      <c r="MIU365" s="38"/>
      <c r="MIV365" s="39"/>
      <c r="MIW365" s="34"/>
      <c r="MIX365" s="34"/>
      <c r="MIY365" s="34"/>
      <c r="MIZ365" s="35"/>
      <c r="MJA365" s="35"/>
      <c r="MJB365" s="35"/>
      <c r="MJC365" s="35"/>
      <c r="MJD365" s="35"/>
      <c r="MJE365" s="34"/>
      <c r="MJF365" s="34"/>
      <c r="MJG365" s="36"/>
      <c r="MJH365" s="36"/>
      <c r="MJI365" s="37"/>
      <c r="MJJ365" s="37"/>
      <c r="MJK365" s="38"/>
      <c r="MJL365" s="38"/>
      <c r="MJM365" s="39"/>
      <c r="MJN365" s="34"/>
      <c r="MJO365" s="34"/>
      <c r="MJP365" s="34"/>
      <c r="MJQ365" s="35"/>
      <c r="MJR365" s="35"/>
      <c r="MJS365" s="35"/>
      <c r="MJT365" s="35"/>
      <c r="MJU365" s="35"/>
      <c r="MJV365" s="34"/>
      <c r="MJW365" s="34"/>
      <c r="MJX365" s="36"/>
      <c r="MJY365" s="36"/>
      <c r="MJZ365" s="37"/>
      <c r="MKA365" s="37"/>
      <c r="MKB365" s="38"/>
      <c r="MKC365" s="38"/>
      <c r="MKD365" s="39"/>
      <c r="MKE365" s="34"/>
      <c r="MKF365" s="34"/>
      <c r="MKG365" s="34"/>
      <c r="MKH365" s="35"/>
      <c r="MKI365" s="35"/>
      <c r="MKJ365" s="35"/>
      <c r="MKK365" s="35"/>
      <c r="MKL365" s="35"/>
      <c r="MKM365" s="34"/>
      <c r="MKN365" s="34"/>
      <c r="MKO365" s="36"/>
      <c r="MKP365" s="36"/>
      <c r="MKQ365" s="37"/>
      <c r="MKR365" s="37"/>
      <c r="MKS365" s="38"/>
      <c r="MKT365" s="38"/>
      <c r="MKU365" s="39"/>
      <c r="MKV365" s="34"/>
      <c r="MKW365" s="34"/>
      <c r="MKX365" s="34"/>
      <c r="MKY365" s="35"/>
      <c r="MKZ365" s="35"/>
      <c r="MLA365" s="35"/>
      <c r="MLB365" s="35"/>
      <c r="MLC365" s="35"/>
      <c r="MLD365" s="34"/>
      <c r="MLE365" s="34"/>
      <c r="MLF365" s="36"/>
      <c r="MLG365" s="36"/>
      <c r="MLH365" s="37"/>
      <c r="MLI365" s="37"/>
      <c r="MLJ365" s="38"/>
      <c r="MLK365" s="38"/>
      <c r="MLL365" s="39"/>
      <c r="MLM365" s="34"/>
      <c r="MLN365" s="34"/>
      <c r="MLO365" s="34"/>
      <c r="MLP365" s="35"/>
      <c r="MLQ365" s="35"/>
      <c r="MLR365" s="35"/>
      <c r="MLS365" s="35"/>
      <c r="MLT365" s="35"/>
      <c r="MLU365" s="34"/>
      <c r="MLV365" s="34"/>
      <c r="MLW365" s="36"/>
      <c r="MLX365" s="36"/>
      <c r="MLY365" s="37"/>
      <c r="MLZ365" s="37"/>
      <c r="MMA365" s="38"/>
      <c r="MMB365" s="38"/>
      <c r="MMC365" s="39"/>
      <c r="MMD365" s="34"/>
      <c r="MME365" s="34"/>
      <c r="MMF365" s="34"/>
      <c r="MMG365" s="35"/>
      <c r="MMH365" s="35"/>
      <c r="MMI365" s="35"/>
      <c r="MMJ365" s="35"/>
      <c r="MMK365" s="35"/>
      <c r="MML365" s="34"/>
      <c r="MMM365" s="34"/>
      <c r="MMN365" s="36"/>
      <c r="MMO365" s="36"/>
      <c r="MMP365" s="37"/>
      <c r="MMQ365" s="37"/>
      <c r="MMR365" s="38"/>
      <c r="MMS365" s="38"/>
      <c r="MMT365" s="39"/>
      <c r="MMU365" s="34"/>
      <c r="MMV365" s="34"/>
      <c r="MMW365" s="34"/>
      <c r="MMX365" s="35"/>
      <c r="MMY365" s="35"/>
      <c r="MMZ365" s="35"/>
      <c r="MNA365" s="35"/>
      <c r="MNB365" s="35"/>
      <c r="MNC365" s="34"/>
      <c r="MND365" s="34"/>
      <c r="MNE365" s="36"/>
      <c r="MNF365" s="36"/>
      <c r="MNG365" s="37"/>
      <c r="MNH365" s="37"/>
      <c r="MNI365" s="38"/>
      <c r="MNJ365" s="38"/>
      <c r="MNK365" s="39"/>
      <c r="MNL365" s="34"/>
      <c r="MNM365" s="34"/>
      <c r="MNN365" s="34"/>
      <c r="MNO365" s="35"/>
      <c r="MNP365" s="35"/>
      <c r="MNQ365" s="35"/>
      <c r="MNR365" s="35"/>
      <c r="MNS365" s="35"/>
      <c r="MNT365" s="34"/>
      <c r="MNU365" s="34"/>
      <c r="MNV365" s="36"/>
      <c r="MNW365" s="36"/>
      <c r="MNX365" s="37"/>
      <c r="MNY365" s="37"/>
      <c r="MNZ365" s="38"/>
      <c r="MOA365" s="38"/>
      <c r="MOB365" s="39"/>
      <c r="MOC365" s="34"/>
      <c r="MOD365" s="34"/>
      <c r="MOE365" s="34"/>
      <c r="MOF365" s="35"/>
      <c r="MOG365" s="35"/>
      <c r="MOH365" s="35"/>
      <c r="MOI365" s="35"/>
      <c r="MOJ365" s="35"/>
      <c r="MOK365" s="34"/>
      <c r="MOL365" s="34"/>
      <c r="MOM365" s="36"/>
      <c r="MON365" s="36"/>
      <c r="MOO365" s="37"/>
      <c r="MOP365" s="37"/>
      <c r="MOQ365" s="38"/>
      <c r="MOR365" s="38"/>
      <c r="MOS365" s="39"/>
      <c r="MOT365" s="34"/>
      <c r="MOU365" s="34"/>
      <c r="MOV365" s="34"/>
      <c r="MOW365" s="35"/>
      <c r="MOX365" s="35"/>
      <c r="MOY365" s="35"/>
      <c r="MOZ365" s="35"/>
      <c r="MPA365" s="35"/>
      <c r="MPB365" s="34"/>
      <c r="MPC365" s="34"/>
      <c r="MPD365" s="36"/>
      <c r="MPE365" s="36"/>
      <c r="MPF365" s="37"/>
      <c r="MPG365" s="37"/>
      <c r="MPH365" s="38"/>
      <c r="MPI365" s="38"/>
      <c r="MPJ365" s="39"/>
      <c r="MPK365" s="34"/>
      <c r="MPL365" s="34"/>
      <c r="MPM365" s="34"/>
      <c r="MPN365" s="35"/>
      <c r="MPO365" s="35"/>
      <c r="MPP365" s="35"/>
      <c r="MPQ365" s="35"/>
      <c r="MPR365" s="35"/>
      <c r="MPS365" s="34"/>
      <c r="MPT365" s="34"/>
      <c r="MPU365" s="36"/>
      <c r="MPV365" s="36"/>
      <c r="MPW365" s="37"/>
      <c r="MPX365" s="37"/>
      <c r="MPY365" s="38"/>
      <c r="MPZ365" s="38"/>
      <c r="MQA365" s="39"/>
      <c r="MQB365" s="34"/>
      <c r="MQC365" s="34"/>
      <c r="MQD365" s="34"/>
      <c r="MQE365" s="35"/>
      <c r="MQF365" s="35"/>
      <c r="MQG365" s="35"/>
      <c r="MQH365" s="35"/>
      <c r="MQI365" s="35"/>
      <c r="MQJ365" s="34"/>
      <c r="MQK365" s="34"/>
      <c r="MQL365" s="36"/>
      <c r="MQM365" s="36"/>
      <c r="MQN365" s="37"/>
      <c r="MQO365" s="37"/>
      <c r="MQP365" s="38"/>
      <c r="MQQ365" s="38"/>
      <c r="MQR365" s="39"/>
      <c r="MQS365" s="34"/>
      <c r="MQT365" s="34"/>
      <c r="MQU365" s="34"/>
      <c r="MQV365" s="35"/>
      <c r="MQW365" s="35"/>
      <c r="MQX365" s="35"/>
      <c r="MQY365" s="35"/>
      <c r="MQZ365" s="35"/>
      <c r="MRA365" s="34"/>
      <c r="MRB365" s="34"/>
      <c r="MRC365" s="36"/>
      <c r="MRD365" s="36"/>
      <c r="MRE365" s="37"/>
      <c r="MRF365" s="37"/>
      <c r="MRG365" s="38"/>
      <c r="MRH365" s="38"/>
      <c r="MRI365" s="39"/>
      <c r="MRJ365" s="34"/>
      <c r="MRK365" s="34"/>
      <c r="MRL365" s="34"/>
      <c r="MRM365" s="35"/>
      <c r="MRN365" s="35"/>
      <c r="MRO365" s="35"/>
      <c r="MRP365" s="35"/>
      <c r="MRQ365" s="35"/>
      <c r="MRR365" s="34"/>
      <c r="MRS365" s="34"/>
      <c r="MRT365" s="36"/>
      <c r="MRU365" s="36"/>
      <c r="MRV365" s="37"/>
      <c r="MRW365" s="37"/>
      <c r="MRX365" s="38"/>
      <c r="MRY365" s="38"/>
      <c r="MRZ365" s="39"/>
      <c r="MSA365" s="34"/>
      <c r="MSB365" s="34"/>
      <c r="MSC365" s="34"/>
      <c r="MSD365" s="35"/>
      <c r="MSE365" s="35"/>
      <c r="MSF365" s="35"/>
      <c r="MSG365" s="35"/>
      <c r="MSH365" s="35"/>
      <c r="MSI365" s="34"/>
      <c r="MSJ365" s="34"/>
      <c r="MSK365" s="36"/>
      <c r="MSL365" s="36"/>
      <c r="MSM365" s="37"/>
      <c r="MSN365" s="37"/>
      <c r="MSO365" s="38"/>
      <c r="MSP365" s="38"/>
      <c r="MSQ365" s="39"/>
      <c r="MSR365" s="34"/>
      <c r="MSS365" s="34"/>
      <c r="MST365" s="34"/>
      <c r="MSU365" s="35"/>
      <c r="MSV365" s="35"/>
      <c r="MSW365" s="35"/>
      <c r="MSX365" s="35"/>
      <c r="MSY365" s="35"/>
      <c r="MSZ365" s="34"/>
      <c r="MTA365" s="34"/>
      <c r="MTB365" s="36"/>
      <c r="MTC365" s="36"/>
      <c r="MTD365" s="37"/>
      <c r="MTE365" s="37"/>
      <c r="MTF365" s="38"/>
      <c r="MTG365" s="38"/>
      <c r="MTH365" s="39"/>
      <c r="MTI365" s="34"/>
      <c r="MTJ365" s="34"/>
      <c r="MTK365" s="34"/>
      <c r="MTL365" s="35"/>
      <c r="MTM365" s="35"/>
      <c r="MTN365" s="35"/>
      <c r="MTO365" s="35"/>
      <c r="MTP365" s="35"/>
      <c r="MTQ365" s="34"/>
      <c r="MTR365" s="34"/>
      <c r="MTS365" s="36"/>
      <c r="MTT365" s="36"/>
      <c r="MTU365" s="37"/>
      <c r="MTV365" s="37"/>
      <c r="MTW365" s="38"/>
      <c r="MTX365" s="38"/>
      <c r="MTY365" s="39"/>
      <c r="MTZ365" s="34"/>
      <c r="MUA365" s="34"/>
      <c r="MUB365" s="34"/>
      <c r="MUC365" s="35"/>
      <c r="MUD365" s="35"/>
      <c r="MUE365" s="35"/>
      <c r="MUF365" s="35"/>
      <c r="MUG365" s="35"/>
      <c r="MUH365" s="34"/>
      <c r="MUI365" s="34"/>
      <c r="MUJ365" s="36"/>
      <c r="MUK365" s="36"/>
      <c r="MUL365" s="37"/>
      <c r="MUM365" s="37"/>
      <c r="MUN365" s="38"/>
      <c r="MUO365" s="38"/>
      <c r="MUP365" s="39"/>
      <c r="MUQ365" s="34"/>
      <c r="MUR365" s="34"/>
      <c r="MUS365" s="34"/>
      <c r="MUT365" s="35"/>
      <c r="MUU365" s="35"/>
      <c r="MUV365" s="35"/>
      <c r="MUW365" s="35"/>
      <c r="MUX365" s="35"/>
      <c r="MUY365" s="34"/>
      <c r="MUZ365" s="34"/>
      <c r="MVA365" s="36"/>
      <c r="MVB365" s="36"/>
      <c r="MVC365" s="37"/>
      <c r="MVD365" s="37"/>
      <c r="MVE365" s="38"/>
      <c r="MVF365" s="38"/>
      <c r="MVG365" s="39"/>
      <c r="MVH365" s="34"/>
      <c r="MVI365" s="34"/>
      <c r="MVJ365" s="34"/>
      <c r="MVK365" s="35"/>
      <c r="MVL365" s="35"/>
      <c r="MVM365" s="35"/>
      <c r="MVN365" s="35"/>
      <c r="MVO365" s="35"/>
      <c r="MVP365" s="34"/>
      <c r="MVQ365" s="34"/>
      <c r="MVR365" s="36"/>
      <c r="MVS365" s="36"/>
      <c r="MVT365" s="37"/>
      <c r="MVU365" s="37"/>
      <c r="MVV365" s="38"/>
      <c r="MVW365" s="38"/>
      <c r="MVX365" s="39"/>
      <c r="MVY365" s="34"/>
      <c r="MVZ365" s="34"/>
      <c r="MWA365" s="34"/>
      <c r="MWB365" s="35"/>
      <c r="MWC365" s="35"/>
      <c r="MWD365" s="35"/>
      <c r="MWE365" s="35"/>
      <c r="MWF365" s="35"/>
      <c r="MWG365" s="34"/>
      <c r="MWH365" s="34"/>
      <c r="MWI365" s="36"/>
      <c r="MWJ365" s="36"/>
      <c r="MWK365" s="37"/>
      <c r="MWL365" s="37"/>
      <c r="MWM365" s="38"/>
      <c r="MWN365" s="38"/>
      <c r="MWO365" s="39"/>
      <c r="MWP365" s="34"/>
      <c r="MWQ365" s="34"/>
      <c r="MWR365" s="34"/>
      <c r="MWS365" s="35"/>
      <c r="MWT365" s="35"/>
      <c r="MWU365" s="35"/>
      <c r="MWV365" s="35"/>
      <c r="MWW365" s="35"/>
      <c r="MWX365" s="34"/>
      <c r="MWY365" s="34"/>
      <c r="MWZ365" s="36"/>
      <c r="MXA365" s="36"/>
      <c r="MXB365" s="37"/>
      <c r="MXC365" s="37"/>
      <c r="MXD365" s="38"/>
      <c r="MXE365" s="38"/>
      <c r="MXF365" s="39"/>
      <c r="MXG365" s="34"/>
      <c r="MXH365" s="34"/>
      <c r="MXI365" s="34"/>
      <c r="MXJ365" s="35"/>
      <c r="MXK365" s="35"/>
      <c r="MXL365" s="35"/>
      <c r="MXM365" s="35"/>
      <c r="MXN365" s="35"/>
      <c r="MXO365" s="34"/>
      <c r="MXP365" s="34"/>
      <c r="MXQ365" s="36"/>
      <c r="MXR365" s="36"/>
      <c r="MXS365" s="37"/>
      <c r="MXT365" s="37"/>
      <c r="MXU365" s="38"/>
      <c r="MXV365" s="38"/>
      <c r="MXW365" s="39"/>
      <c r="MXX365" s="34"/>
      <c r="MXY365" s="34"/>
      <c r="MXZ365" s="34"/>
      <c r="MYA365" s="35"/>
      <c r="MYB365" s="35"/>
      <c r="MYC365" s="35"/>
      <c r="MYD365" s="35"/>
      <c r="MYE365" s="35"/>
      <c r="MYF365" s="34"/>
      <c r="MYG365" s="34"/>
      <c r="MYH365" s="36"/>
      <c r="MYI365" s="36"/>
      <c r="MYJ365" s="37"/>
      <c r="MYK365" s="37"/>
      <c r="MYL365" s="38"/>
      <c r="MYM365" s="38"/>
      <c r="MYN365" s="39"/>
      <c r="MYO365" s="34"/>
      <c r="MYP365" s="34"/>
      <c r="MYQ365" s="34"/>
      <c r="MYR365" s="35"/>
      <c r="MYS365" s="35"/>
      <c r="MYT365" s="35"/>
      <c r="MYU365" s="35"/>
      <c r="MYV365" s="35"/>
      <c r="MYW365" s="34"/>
      <c r="MYX365" s="34"/>
      <c r="MYY365" s="36"/>
      <c r="MYZ365" s="36"/>
      <c r="MZA365" s="37"/>
      <c r="MZB365" s="37"/>
      <c r="MZC365" s="38"/>
      <c r="MZD365" s="38"/>
      <c r="MZE365" s="39"/>
      <c r="MZF365" s="34"/>
      <c r="MZG365" s="34"/>
      <c r="MZH365" s="34"/>
      <c r="MZI365" s="35"/>
      <c r="MZJ365" s="35"/>
      <c r="MZK365" s="35"/>
      <c r="MZL365" s="35"/>
      <c r="MZM365" s="35"/>
      <c r="MZN365" s="34"/>
      <c r="MZO365" s="34"/>
      <c r="MZP365" s="36"/>
      <c r="MZQ365" s="36"/>
      <c r="MZR365" s="37"/>
      <c r="MZS365" s="37"/>
      <c r="MZT365" s="38"/>
      <c r="MZU365" s="38"/>
      <c r="MZV365" s="39"/>
      <c r="MZW365" s="34"/>
      <c r="MZX365" s="34"/>
      <c r="MZY365" s="34"/>
      <c r="MZZ365" s="35"/>
      <c r="NAA365" s="35"/>
      <c r="NAB365" s="35"/>
      <c r="NAC365" s="35"/>
      <c r="NAD365" s="35"/>
      <c r="NAE365" s="34"/>
      <c r="NAF365" s="34"/>
      <c r="NAG365" s="36"/>
      <c r="NAH365" s="36"/>
      <c r="NAI365" s="37"/>
      <c r="NAJ365" s="37"/>
      <c r="NAK365" s="38"/>
      <c r="NAL365" s="38"/>
      <c r="NAM365" s="39"/>
      <c r="NAN365" s="34"/>
      <c r="NAO365" s="34"/>
      <c r="NAP365" s="34"/>
      <c r="NAQ365" s="35"/>
      <c r="NAR365" s="35"/>
      <c r="NAS365" s="35"/>
      <c r="NAT365" s="35"/>
      <c r="NAU365" s="35"/>
      <c r="NAV365" s="34"/>
      <c r="NAW365" s="34"/>
      <c r="NAX365" s="36"/>
      <c r="NAY365" s="36"/>
      <c r="NAZ365" s="37"/>
      <c r="NBA365" s="37"/>
      <c r="NBB365" s="38"/>
      <c r="NBC365" s="38"/>
      <c r="NBD365" s="39"/>
      <c r="NBE365" s="34"/>
      <c r="NBF365" s="34"/>
      <c r="NBG365" s="34"/>
      <c r="NBH365" s="35"/>
      <c r="NBI365" s="35"/>
      <c r="NBJ365" s="35"/>
      <c r="NBK365" s="35"/>
      <c r="NBL365" s="35"/>
      <c r="NBM365" s="34"/>
      <c r="NBN365" s="34"/>
      <c r="NBO365" s="36"/>
      <c r="NBP365" s="36"/>
      <c r="NBQ365" s="37"/>
      <c r="NBR365" s="37"/>
      <c r="NBS365" s="38"/>
      <c r="NBT365" s="38"/>
      <c r="NBU365" s="39"/>
      <c r="NBV365" s="34"/>
      <c r="NBW365" s="34"/>
      <c r="NBX365" s="34"/>
      <c r="NBY365" s="35"/>
      <c r="NBZ365" s="35"/>
      <c r="NCA365" s="35"/>
      <c r="NCB365" s="35"/>
      <c r="NCC365" s="35"/>
      <c r="NCD365" s="34"/>
      <c r="NCE365" s="34"/>
      <c r="NCF365" s="36"/>
      <c r="NCG365" s="36"/>
      <c r="NCH365" s="37"/>
      <c r="NCI365" s="37"/>
      <c r="NCJ365" s="38"/>
      <c r="NCK365" s="38"/>
      <c r="NCL365" s="39"/>
      <c r="NCM365" s="34"/>
      <c r="NCN365" s="34"/>
      <c r="NCO365" s="34"/>
      <c r="NCP365" s="35"/>
      <c r="NCQ365" s="35"/>
      <c r="NCR365" s="35"/>
      <c r="NCS365" s="35"/>
      <c r="NCT365" s="35"/>
      <c r="NCU365" s="34"/>
      <c r="NCV365" s="34"/>
      <c r="NCW365" s="36"/>
      <c r="NCX365" s="36"/>
      <c r="NCY365" s="37"/>
      <c r="NCZ365" s="37"/>
      <c r="NDA365" s="38"/>
      <c r="NDB365" s="38"/>
      <c r="NDC365" s="39"/>
      <c r="NDD365" s="34"/>
      <c r="NDE365" s="34"/>
      <c r="NDF365" s="34"/>
      <c r="NDG365" s="35"/>
      <c r="NDH365" s="35"/>
      <c r="NDI365" s="35"/>
      <c r="NDJ365" s="35"/>
      <c r="NDK365" s="35"/>
      <c r="NDL365" s="34"/>
      <c r="NDM365" s="34"/>
      <c r="NDN365" s="36"/>
      <c r="NDO365" s="36"/>
      <c r="NDP365" s="37"/>
      <c r="NDQ365" s="37"/>
      <c r="NDR365" s="38"/>
      <c r="NDS365" s="38"/>
      <c r="NDT365" s="39"/>
      <c r="NDU365" s="34"/>
      <c r="NDV365" s="34"/>
      <c r="NDW365" s="34"/>
      <c r="NDX365" s="35"/>
      <c r="NDY365" s="35"/>
      <c r="NDZ365" s="35"/>
      <c r="NEA365" s="35"/>
      <c r="NEB365" s="35"/>
      <c r="NEC365" s="34"/>
      <c r="NED365" s="34"/>
      <c r="NEE365" s="36"/>
      <c r="NEF365" s="36"/>
      <c r="NEG365" s="37"/>
      <c r="NEH365" s="37"/>
      <c r="NEI365" s="38"/>
      <c r="NEJ365" s="38"/>
      <c r="NEK365" s="39"/>
      <c r="NEL365" s="34"/>
      <c r="NEM365" s="34"/>
      <c r="NEN365" s="34"/>
      <c r="NEO365" s="35"/>
      <c r="NEP365" s="35"/>
      <c r="NEQ365" s="35"/>
      <c r="NER365" s="35"/>
      <c r="NES365" s="35"/>
      <c r="NET365" s="34"/>
      <c r="NEU365" s="34"/>
      <c r="NEV365" s="36"/>
      <c r="NEW365" s="36"/>
      <c r="NEX365" s="37"/>
      <c r="NEY365" s="37"/>
      <c r="NEZ365" s="38"/>
      <c r="NFA365" s="38"/>
      <c r="NFB365" s="39"/>
      <c r="NFC365" s="34"/>
      <c r="NFD365" s="34"/>
      <c r="NFE365" s="34"/>
      <c r="NFF365" s="35"/>
      <c r="NFG365" s="35"/>
      <c r="NFH365" s="35"/>
      <c r="NFI365" s="35"/>
      <c r="NFJ365" s="35"/>
      <c r="NFK365" s="34"/>
      <c r="NFL365" s="34"/>
      <c r="NFM365" s="36"/>
      <c r="NFN365" s="36"/>
      <c r="NFO365" s="37"/>
      <c r="NFP365" s="37"/>
      <c r="NFQ365" s="38"/>
      <c r="NFR365" s="38"/>
      <c r="NFS365" s="39"/>
      <c r="NFT365" s="34"/>
      <c r="NFU365" s="34"/>
      <c r="NFV365" s="34"/>
      <c r="NFW365" s="35"/>
      <c r="NFX365" s="35"/>
      <c r="NFY365" s="35"/>
      <c r="NFZ365" s="35"/>
      <c r="NGA365" s="35"/>
      <c r="NGB365" s="34"/>
      <c r="NGC365" s="34"/>
      <c r="NGD365" s="36"/>
      <c r="NGE365" s="36"/>
      <c r="NGF365" s="37"/>
      <c r="NGG365" s="37"/>
      <c r="NGH365" s="38"/>
      <c r="NGI365" s="38"/>
      <c r="NGJ365" s="39"/>
      <c r="NGK365" s="34"/>
      <c r="NGL365" s="34"/>
      <c r="NGM365" s="34"/>
      <c r="NGN365" s="35"/>
      <c r="NGO365" s="35"/>
      <c r="NGP365" s="35"/>
      <c r="NGQ365" s="35"/>
      <c r="NGR365" s="35"/>
      <c r="NGS365" s="34"/>
      <c r="NGT365" s="34"/>
      <c r="NGU365" s="36"/>
      <c r="NGV365" s="36"/>
      <c r="NGW365" s="37"/>
      <c r="NGX365" s="37"/>
      <c r="NGY365" s="38"/>
      <c r="NGZ365" s="38"/>
      <c r="NHA365" s="39"/>
      <c r="NHB365" s="34"/>
      <c r="NHC365" s="34"/>
      <c r="NHD365" s="34"/>
      <c r="NHE365" s="35"/>
      <c r="NHF365" s="35"/>
      <c r="NHG365" s="35"/>
      <c r="NHH365" s="35"/>
      <c r="NHI365" s="35"/>
      <c r="NHJ365" s="34"/>
      <c r="NHK365" s="34"/>
      <c r="NHL365" s="36"/>
      <c r="NHM365" s="36"/>
      <c r="NHN365" s="37"/>
      <c r="NHO365" s="37"/>
      <c r="NHP365" s="38"/>
      <c r="NHQ365" s="38"/>
      <c r="NHR365" s="39"/>
      <c r="NHS365" s="34"/>
      <c r="NHT365" s="34"/>
      <c r="NHU365" s="34"/>
      <c r="NHV365" s="35"/>
      <c r="NHW365" s="35"/>
      <c r="NHX365" s="35"/>
      <c r="NHY365" s="35"/>
      <c r="NHZ365" s="35"/>
      <c r="NIA365" s="34"/>
      <c r="NIB365" s="34"/>
      <c r="NIC365" s="36"/>
      <c r="NID365" s="36"/>
      <c r="NIE365" s="37"/>
      <c r="NIF365" s="37"/>
      <c r="NIG365" s="38"/>
      <c r="NIH365" s="38"/>
      <c r="NII365" s="39"/>
      <c r="NIJ365" s="34"/>
      <c r="NIK365" s="34"/>
      <c r="NIL365" s="34"/>
      <c r="NIM365" s="35"/>
      <c r="NIN365" s="35"/>
      <c r="NIO365" s="35"/>
      <c r="NIP365" s="35"/>
      <c r="NIQ365" s="35"/>
      <c r="NIR365" s="34"/>
      <c r="NIS365" s="34"/>
      <c r="NIT365" s="36"/>
      <c r="NIU365" s="36"/>
      <c r="NIV365" s="37"/>
      <c r="NIW365" s="37"/>
      <c r="NIX365" s="38"/>
      <c r="NIY365" s="38"/>
      <c r="NIZ365" s="39"/>
      <c r="NJA365" s="34"/>
      <c r="NJB365" s="34"/>
      <c r="NJC365" s="34"/>
      <c r="NJD365" s="35"/>
      <c r="NJE365" s="35"/>
      <c r="NJF365" s="35"/>
      <c r="NJG365" s="35"/>
      <c r="NJH365" s="35"/>
      <c r="NJI365" s="34"/>
      <c r="NJJ365" s="34"/>
      <c r="NJK365" s="36"/>
      <c r="NJL365" s="36"/>
      <c r="NJM365" s="37"/>
      <c r="NJN365" s="37"/>
      <c r="NJO365" s="38"/>
      <c r="NJP365" s="38"/>
      <c r="NJQ365" s="39"/>
      <c r="NJR365" s="34"/>
      <c r="NJS365" s="34"/>
      <c r="NJT365" s="34"/>
      <c r="NJU365" s="35"/>
      <c r="NJV365" s="35"/>
      <c r="NJW365" s="35"/>
      <c r="NJX365" s="35"/>
      <c r="NJY365" s="35"/>
      <c r="NJZ365" s="34"/>
      <c r="NKA365" s="34"/>
      <c r="NKB365" s="36"/>
      <c r="NKC365" s="36"/>
      <c r="NKD365" s="37"/>
      <c r="NKE365" s="37"/>
      <c r="NKF365" s="38"/>
      <c r="NKG365" s="38"/>
      <c r="NKH365" s="39"/>
      <c r="NKI365" s="34"/>
      <c r="NKJ365" s="34"/>
      <c r="NKK365" s="34"/>
      <c r="NKL365" s="35"/>
      <c r="NKM365" s="35"/>
      <c r="NKN365" s="35"/>
      <c r="NKO365" s="35"/>
      <c r="NKP365" s="35"/>
      <c r="NKQ365" s="34"/>
      <c r="NKR365" s="34"/>
      <c r="NKS365" s="36"/>
      <c r="NKT365" s="36"/>
      <c r="NKU365" s="37"/>
      <c r="NKV365" s="37"/>
      <c r="NKW365" s="38"/>
      <c r="NKX365" s="38"/>
      <c r="NKY365" s="39"/>
      <c r="NKZ365" s="34"/>
      <c r="NLA365" s="34"/>
      <c r="NLB365" s="34"/>
      <c r="NLC365" s="35"/>
      <c r="NLD365" s="35"/>
      <c r="NLE365" s="35"/>
      <c r="NLF365" s="35"/>
      <c r="NLG365" s="35"/>
      <c r="NLH365" s="34"/>
      <c r="NLI365" s="34"/>
      <c r="NLJ365" s="36"/>
      <c r="NLK365" s="36"/>
      <c r="NLL365" s="37"/>
      <c r="NLM365" s="37"/>
      <c r="NLN365" s="38"/>
      <c r="NLO365" s="38"/>
      <c r="NLP365" s="39"/>
      <c r="NLQ365" s="34"/>
      <c r="NLR365" s="34"/>
      <c r="NLS365" s="34"/>
      <c r="NLT365" s="35"/>
      <c r="NLU365" s="35"/>
      <c r="NLV365" s="35"/>
      <c r="NLW365" s="35"/>
      <c r="NLX365" s="35"/>
      <c r="NLY365" s="34"/>
      <c r="NLZ365" s="34"/>
      <c r="NMA365" s="36"/>
      <c r="NMB365" s="36"/>
      <c r="NMC365" s="37"/>
      <c r="NMD365" s="37"/>
      <c r="NME365" s="38"/>
      <c r="NMF365" s="38"/>
      <c r="NMG365" s="39"/>
      <c r="NMH365" s="34"/>
      <c r="NMI365" s="34"/>
      <c r="NMJ365" s="34"/>
      <c r="NMK365" s="35"/>
      <c r="NML365" s="35"/>
      <c r="NMM365" s="35"/>
      <c r="NMN365" s="35"/>
      <c r="NMO365" s="35"/>
      <c r="NMP365" s="34"/>
      <c r="NMQ365" s="34"/>
      <c r="NMR365" s="36"/>
      <c r="NMS365" s="36"/>
      <c r="NMT365" s="37"/>
      <c r="NMU365" s="37"/>
      <c r="NMV365" s="38"/>
      <c r="NMW365" s="38"/>
      <c r="NMX365" s="39"/>
      <c r="NMY365" s="34"/>
      <c r="NMZ365" s="34"/>
      <c r="NNA365" s="34"/>
      <c r="NNB365" s="35"/>
      <c r="NNC365" s="35"/>
      <c r="NND365" s="35"/>
      <c r="NNE365" s="35"/>
      <c r="NNF365" s="35"/>
      <c r="NNG365" s="34"/>
      <c r="NNH365" s="34"/>
      <c r="NNI365" s="36"/>
      <c r="NNJ365" s="36"/>
      <c r="NNK365" s="37"/>
      <c r="NNL365" s="37"/>
      <c r="NNM365" s="38"/>
      <c r="NNN365" s="38"/>
      <c r="NNO365" s="39"/>
      <c r="NNP365" s="34"/>
      <c r="NNQ365" s="34"/>
      <c r="NNR365" s="34"/>
      <c r="NNS365" s="35"/>
      <c r="NNT365" s="35"/>
      <c r="NNU365" s="35"/>
      <c r="NNV365" s="35"/>
      <c r="NNW365" s="35"/>
      <c r="NNX365" s="34"/>
      <c r="NNY365" s="34"/>
      <c r="NNZ365" s="36"/>
      <c r="NOA365" s="36"/>
      <c r="NOB365" s="37"/>
      <c r="NOC365" s="37"/>
      <c r="NOD365" s="38"/>
      <c r="NOE365" s="38"/>
      <c r="NOF365" s="39"/>
      <c r="NOG365" s="34"/>
      <c r="NOH365" s="34"/>
      <c r="NOI365" s="34"/>
      <c r="NOJ365" s="35"/>
      <c r="NOK365" s="35"/>
      <c r="NOL365" s="35"/>
      <c r="NOM365" s="35"/>
      <c r="NON365" s="35"/>
      <c r="NOO365" s="34"/>
      <c r="NOP365" s="34"/>
      <c r="NOQ365" s="36"/>
      <c r="NOR365" s="36"/>
      <c r="NOS365" s="37"/>
      <c r="NOT365" s="37"/>
      <c r="NOU365" s="38"/>
      <c r="NOV365" s="38"/>
      <c r="NOW365" s="39"/>
      <c r="NOX365" s="34"/>
      <c r="NOY365" s="34"/>
      <c r="NOZ365" s="34"/>
      <c r="NPA365" s="35"/>
      <c r="NPB365" s="35"/>
      <c r="NPC365" s="35"/>
      <c r="NPD365" s="35"/>
      <c r="NPE365" s="35"/>
      <c r="NPF365" s="34"/>
      <c r="NPG365" s="34"/>
      <c r="NPH365" s="36"/>
      <c r="NPI365" s="36"/>
      <c r="NPJ365" s="37"/>
      <c r="NPK365" s="37"/>
      <c r="NPL365" s="38"/>
      <c r="NPM365" s="38"/>
      <c r="NPN365" s="39"/>
      <c r="NPO365" s="34"/>
      <c r="NPP365" s="34"/>
      <c r="NPQ365" s="34"/>
      <c r="NPR365" s="35"/>
      <c r="NPS365" s="35"/>
      <c r="NPT365" s="35"/>
      <c r="NPU365" s="35"/>
      <c r="NPV365" s="35"/>
      <c r="NPW365" s="34"/>
      <c r="NPX365" s="34"/>
      <c r="NPY365" s="36"/>
      <c r="NPZ365" s="36"/>
      <c r="NQA365" s="37"/>
      <c r="NQB365" s="37"/>
      <c r="NQC365" s="38"/>
      <c r="NQD365" s="38"/>
      <c r="NQE365" s="39"/>
      <c r="NQF365" s="34"/>
      <c r="NQG365" s="34"/>
      <c r="NQH365" s="34"/>
      <c r="NQI365" s="35"/>
      <c r="NQJ365" s="35"/>
      <c r="NQK365" s="35"/>
      <c r="NQL365" s="35"/>
      <c r="NQM365" s="35"/>
      <c r="NQN365" s="34"/>
      <c r="NQO365" s="34"/>
      <c r="NQP365" s="36"/>
      <c r="NQQ365" s="36"/>
      <c r="NQR365" s="37"/>
      <c r="NQS365" s="37"/>
      <c r="NQT365" s="38"/>
      <c r="NQU365" s="38"/>
      <c r="NQV365" s="39"/>
      <c r="NQW365" s="34"/>
      <c r="NQX365" s="34"/>
      <c r="NQY365" s="34"/>
      <c r="NQZ365" s="35"/>
      <c r="NRA365" s="35"/>
      <c r="NRB365" s="35"/>
      <c r="NRC365" s="35"/>
      <c r="NRD365" s="35"/>
      <c r="NRE365" s="34"/>
      <c r="NRF365" s="34"/>
      <c r="NRG365" s="36"/>
      <c r="NRH365" s="36"/>
      <c r="NRI365" s="37"/>
      <c r="NRJ365" s="37"/>
      <c r="NRK365" s="38"/>
      <c r="NRL365" s="38"/>
      <c r="NRM365" s="39"/>
      <c r="NRN365" s="34"/>
      <c r="NRO365" s="34"/>
      <c r="NRP365" s="34"/>
      <c r="NRQ365" s="35"/>
      <c r="NRR365" s="35"/>
      <c r="NRS365" s="35"/>
      <c r="NRT365" s="35"/>
      <c r="NRU365" s="35"/>
      <c r="NRV365" s="34"/>
      <c r="NRW365" s="34"/>
      <c r="NRX365" s="36"/>
      <c r="NRY365" s="36"/>
      <c r="NRZ365" s="37"/>
      <c r="NSA365" s="37"/>
      <c r="NSB365" s="38"/>
      <c r="NSC365" s="38"/>
      <c r="NSD365" s="39"/>
      <c r="NSE365" s="34"/>
      <c r="NSF365" s="34"/>
      <c r="NSG365" s="34"/>
      <c r="NSH365" s="35"/>
      <c r="NSI365" s="35"/>
      <c r="NSJ365" s="35"/>
      <c r="NSK365" s="35"/>
      <c r="NSL365" s="35"/>
      <c r="NSM365" s="34"/>
      <c r="NSN365" s="34"/>
      <c r="NSO365" s="36"/>
      <c r="NSP365" s="36"/>
      <c r="NSQ365" s="37"/>
      <c r="NSR365" s="37"/>
      <c r="NSS365" s="38"/>
      <c r="NST365" s="38"/>
      <c r="NSU365" s="39"/>
      <c r="NSV365" s="34"/>
      <c r="NSW365" s="34"/>
      <c r="NSX365" s="34"/>
      <c r="NSY365" s="35"/>
      <c r="NSZ365" s="35"/>
      <c r="NTA365" s="35"/>
      <c r="NTB365" s="35"/>
      <c r="NTC365" s="35"/>
      <c r="NTD365" s="34"/>
      <c r="NTE365" s="34"/>
      <c r="NTF365" s="36"/>
      <c r="NTG365" s="36"/>
      <c r="NTH365" s="37"/>
      <c r="NTI365" s="37"/>
      <c r="NTJ365" s="38"/>
      <c r="NTK365" s="38"/>
      <c r="NTL365" s="39"/>
      <c r="NTM365" s="34"/>
      <c r="NTN365" s="34"/>
      <c r="NTO365" s="34"/>
      <c r="NTP365" s="35"/>
      <c r="NTQ365" s="35"/>
      <c r="NTR365" s="35"/>
      <c r="NTS365" s="35"/>
      <c r="NTT365" s="35"/>
      <c r="NTU365" s="34"/>
      <c r="NTV365" s="34"/>
      <c r="NTW365" s="36"/>
      <c r="NTX365" s="36"/>
      <c r="NTY365" s="37"/>
      <c r="NTZ365" s="37"/>
      <c r="NUA365" s="38"/>
      <c r="NUB365" s="38"/>
      <c r="NUC365" s="39"/>
      <c r="NUD365" s="34"/>
      <c r="NUE365" s="34"/>
      <c r="NUF365" s="34"/>
      <c r="NUG365" s="35"/>
      <c r="NUH365" s="35"/>
      <c r="NUI365" s="35"/>
      <c r="NUJ365" s="35"/>
      <c r="NUK365" s="35"/>
      <c r="NUL365" s="34"/>
      <c r="NUM365" s="34"/>
      <c r="NUN365" s="36"/>
      <c r="NUO365" s="36"/>
      <c r="NUP365" s="37"/>
      <c r="NUQ365" s="37"/>
      <c r="NUR365" s="38"/>
      <c r="NUS365" s="38"/>
      <c r="NUT365" s="39"/>
      <c r="NUU365" s="34"/>
      <c r="NUV365" s="34"/>
      <c r="NUW365" s="34"/>
      <c r="NUX365" s="35"/>
      <c r="NUY365" s="35"/>
      <c r="NUZ365" s="35"/>
      <c r="NVA365" s="35"/>
      <c r="NVB365" s="35"/>
      <c r="NVC365" s="34"/>
      <c r="NVD365" s="34"/>
      <c r="NVE365" s="36"/>
      <c r="NVF365" s="36"/>
      <c r="NVG365" s="37"/>
      <c r="NVH365" s="37"/>
      <c r="NVI365" s="38"/>
      <c r="NVJ365" s="38"/>
      <c r="NVK365" s="39"/>
      <c r="NVL365" s="34"/>
      <c r="NVM365" s="34"/>
      <c r="NVN365" s="34"/>
      <c r="NVO365" s="35"/>
      <c r="NVP365" s="35"/>
      <c r="NVQ365" s="35"/>
      <c r="NVR365" s="35"/>
      <c r="NVS365" s="35"/>
      <c r="NVT365" s="34"/>
      <c r="NVU365" s="34"/>
      <c r="NVV365" s="36"/>
      <c r="NVW365" s="36"/>
      <c r="NVX365" s="37"/>
      <c r="NVY365" s="37"/>
      <c r="NVZ365" s="38"/>
      <c r="NWA365" s="38"/>
      <c r="NWB365" s="39"/>
      <c r="NWC365" s="34"/>
      <c r="NWD365" s="34"/>
      <c r="NWE365" s="34"/>
      <c r="NWF365" s="35"/>
      <c r="NWG365" s="35"/>
      <c r="NWH365" s="35"/>
      <c r="NWI365" s="35"/>
      <c r="NWJ365" s="35"/>
      <c r="NWK365" s="34"/>
      <c r="NWL365" s="34"/>
      <c r="NWM365" s="36"/>
      <c r="NWN365" s="36"/>
      <c r="NWO365" s="37"/>
      <c r="NWP365" s="37"/>
      <c r="NWQ365" s="38"/>
      <c r="NWR365" s="38"/>
      <c r="NWS365" s="39"/>
      <c r="NWT365" s="34"/>
      <c r="NWU365" s="34"/>
      <c r="NWV365" s="34"/>
      <c r="NWW365" s="35"/>
      <c r="NWX365" s="35"/>
      <c r="NWY365" s="35"/>
      <c r="NWZ365" s="35"/>
      <c r="NXA365" s="35"/>
      <c r="NXB365" s="34"/>
      <c r="NXC365" s="34"/>
      <c r="NXD365" s="36"/>
      <c r="NXE365" s="36"/>
      <c r="NXF365" s="37"/>
      <c r="NXG365" s="37"/>
      <c r="NXH365" s="38"/>
      <c r="NXI365" s="38"/>
      <c r="NXJ365" s="39"/>
      <c r="NXK365" s="34"/>
      <c r="NXL365" s="34"/>
      <c r="NXM365" s="34"/>
      <c r="NXN365" s="35"/>
      <c r="NXO365" s="35"/>
      <c r="NXP365" s="35"/>
      <c r="NXQ365" s="35"/>
      <c r="NXR365" s="35"/>
      <c r="NXS365" s="34"/>
      <c r="NXT365" s="34"/>
      <c r="NXU365" s="36"/>
      <c r="NXV365" s="36"/>
      <c r="NXW365" s="37"/>
      <c r="NXX365" s="37"/>
      <c r="NXY365" s="38"/>
      <c r="NXZ365" s="38"/>
      <c r="NYA365" s="39"/>
      <c r="NYB365" s="34"/>
      <c r="NYC365" s="34"/>
      <c r="NYD365" s="34"/>
      <c r="NYE365" s="35"/>
      <c r="NYF365" s="35"/>
      <c r="NYG365" s="35"/>
      <c r="NYH365" s="35"/>
      <c r="NYI365" s="35"/>
      <c r="NYJ365" s="34"/>
      <c r="NYK365" s="34"/>
      <c r="NYL365" s="36"/>
      <c r="NYM365" s="36"/>
      <c r="NYN365" s="37"/>
      <c r="NYO365" s="37"/>
      <c r="NYP365" s="38"/>
      <c r="NYQ365" s="38"/>
      <c r="NYR365" s="39"/>
      <c r="NYS365" s="34"/>
      <c r="NYT365" s="34"/>
      <c r="NYU365" s="34"/>
      <c r="NYV365" s="35"/>
      <c r="NYW365" s="35"/>
      <c r="NYX365" s="35"/>
      <c r="NYY365" s="35"/>
      <c r="NYZ365" s="35"/>
      <c r="NZA365" s="34"/>
      <c r="NZB365" s="34"/>
      <c r="NZC365" s="36"/>
      <c r="NZD365" s="36"/>
      <c r="NZE365" s="37"/>
      <c r="NZF365" s="37"/>
      <c r="NZG365" s="38"/>
      <c r="NZH365" s="38"/>
      <c r="NZI365" s="39"/>
      <c r="NZJ365" s="34"/>
      <c r="NZK365" s="34"/>
      <c r="NZL365" s="34"/>
      <c r="NZM365" s="35"/>
      <c r="NZN365" s="35"/>
      <c r="NZO365" s="35"/>
      <c r="NZP365" s="35"/>
      <c r="NZQ365" s="35"/>
      <c r="NZR365" s="34"/>
      <c r="NZS365" s="34"/>
      <c r="NZT365" s="36"/>
      <c r="NZU365" s="36"/>
      <c r="NZV365" s="37"/>
      <c r="NZW365" s="37"/>
      <c r="NZX365" s="38"/>
      <c r="NZY365" s="38"/>
      <c r="NZZ365" s="39"/>
      <c r="OAA365" s="34"/>
      <c r="OAB365" s="34"/>
      <c r="OAC365" s="34"/>
      <c r="OAD365" s="35"/>
      <c r="OAE365" s="35"/>
      <c r="OAF365" s="35"/>
      <c r="OAG365" s="35"/>
      <c r="OAH365" s="35"/>
      <c r="OAI365" s="34"/>
      <c r="OAJ365" s="34"/>
      <c r="OAK365" s="36"/>
      <c r="OAL365" s="36"/>
      <c r="OAM365" s="37"/>
      <c r="OAN365" s="37"/>
      <c r="OAO365" s="38"/>
      <c r="OAP365" s="38"/>
      <c r="OAQ365" s="39"/>
      <c r="OAR365" s="34"/>
      <c r="OAS365" s="34"/>
      <c r="OAT365" s="34"/>
      <c r="OAU365" s="35"/>
      <c r="OAV365" s="35"/>
      <c r="OAW365" s="35"/>
      <c r="OAX365" s="35"/>
      <c r="OAY365" s="35"/>
      <c r="OAZ365" s="34"/>
      <c r="OBA365" s="34"/>
      <c r="OBB365" s="36"/>
      <c r="OBC365" s="36"/>
      <c r="OBD365" s="37"/>
      <c r="OBE365" s="37"/>
      <c r="OBF365" s="38"/>
      <c r="OBG365" s="38"/>
      <c r="OBH365" s="39"/>
      <c r="OBI365" s="34"/>
      <c r="OBJ365" s="34"/>
      <c r="OBK365" s="34"/>
      <c r="OBL365" s="35"/>
      <c r="OBM365" s="35"/>
      <c r="OBN365" s="35"/>
      <c r="OBO365" s="35"/>
      <c r="OBP365" s="35"/>
      <c r="OBQ365" s="34"/>
      <c r="OBR365" s="34"/>
      <c r="OBS365" s="36"/>
      <c r="OBT365" s="36"/>
      <c r="OBU365" s="37"/>
      <c r="OBV365" s="37"/>
      <c r="OBW365" s="38"/>
      <c r="OBX365" s="38"/>
      <c r="OBY365" s="39"/>
      <c r="OBZ365" s="34"/>
      <c r="OCA365" s="34"/>
      <c r="OCB365" s="34"/>
      <c r="OCC365" s="35"/>
      <c r="OCD365" s="35"/>
      <c r="OCE365" s="35"/>
      <c r="OCF365" s="35"/>
      <c r="OCG365" s="35"/>
      <c r="OCH365" s="34"/>
      <c r="OCI365" s="34"/>
      <c r="OCJ365" s="36"/>
      <c r="OCK365" s="36"/>
      <c r="OCL365" s="37"/>
      <c r="OCM365" s="37"/>
      <c r="OCN365" s="38"/>
      <c r="OCO365" s="38"/>
      <c r="OCP365" s="39"/>
      <c r="OCQ365" s="34"/>
      <c r="OCR365" s="34"/>
      <c r="OCS365" s="34"/>
      <c r="OCT365" s="35"/>
      <c r="OCU365" s="35"/>
      <c r="OCV365" s="35"/>
      <c r="OCW365" s="35"/>
      <c r="OCX365" s="35"/>
      <c r="OCY365" s="34"/>
      <c r="OCZ365" s="34"/>
      <c r="ODA365" s="36"/>
      <c r="ODB365" s="36"/>
      <c r="ODC365" s="37"/>
      <c r="ODD365" s="37"/>
      <c r="ODE365" s="38"/>
      <c r="ODF365" s="38"/>
      <c r="ODG365" s="39"/>
      <c r="ODH365" s="34"/>
      <c r="ODI365" s="34"/>
      <c r="ODJ365" s="34"/>
      <c r="ODK365" s="35"/>
      <c r="ODL365" s="35"/>
      <c r="ODM365" s="35"/>
      <c r="ODN365" s="35"/>
      <c r="ODO365" s="35"/>
      <c r="ODP365" s="34"/>
      <c r="ODQ365" s="34"/>
      <c r="ODR365" s="36"/>
      <c r="ODS365" s="36"/>
      <c r="ODT365" s="37"/>
      <c r="ODU365" s="37"/>
      <c r="ODV365" s="38"/>
      <c r="ODW365" s="38"/>
      <c r="ODX365" s="39"/>
      <c r="ODY365" s="34"/>
      <c r="ODZ365" s="34"/>
      <c r="OEA365" s="34"/>
      <c r="OEB365" s="35"/>
      <c r="OEC365" s="35"/>
      <c r="OED365" s="35"/>
      <c r="OEE365" s="35"/>
      <c r="OEF365" s="35"/>
      <c r="OEG365" s="34"/>
      <c r="OEH365" s="34"/>
      <c r="OEI365" s="36"/>
      <c r="OEJ365" s="36"/>
      <c r="OEK365" s="37"/>
      <c r="OEL365" s="37"/>
      <c r="OEM365" s="38"/>
      <c r="OEN365" s="38"/>
      <c r="OEO365" s="39"/>
      <c r="OEP365" s="34"/>
      <c r="OEQ365" s="34"/>
      <c r="OER365" s="34"/>
      <c r="OES365" s="35"/>
      <c r="OET365" s="35"/>
      <c r="OEU365" s="35"/>
      <c r="OEV365" s="35"/>
      <c r="OEW365" s="35"/>
      <c r="OEX365" s="34"/>
      <c r="OEY365" s="34"/>
      <c r="OEZ365" s="36"/>
      <c r="OFA365" s="36"/>
      <c r="OFB365" s="37"/>
      <c r="OFC365" s="37"/>
      <c r="OFD365" s="38"/>
      <c r="OFE365" s="38"/>
      <c r="OFF365" s="39"/>
      <c r="OFG365" s="34"/>
      <c r="OFH365" s="34"/>
      <c r="OFI365" s="34"/>
      <c r="OFJ365" s="35"/>
      <c r="OFK365" s="35"/>
      <c r="OFL365" s="35"/>
      <c r="OFM365" s="35"/>
      <c r="OFN365" s="35"/>
      <c r="OFO365" s="34"/>
      <c r="OFP365" s="34"/>
      <c r="OFQ365" s="36"/>
      <c r="OFR365" s="36"/>
      <c r="OFS365" s="37"/>
      <c r="OFT365" s="37"/>
      <c r="OFU365" s="38"/>
      <c r="OFV365" s="38"/>
      <c r="OFW365" s="39"/>
      <c r="OFX365" s="34"/>
      <c r="OFY365" s="34"/>
      <c r="OFZ365" s="34"/>
      <c r="OGA365" s="35"/>
      <c r="OGB365" s="35"/>
      <c r="OGC365" s="35"/>
      <c r="OGD365" s="35"/>
      <c r="OGE365" s="35"/>
      <c r="OGF365" s="34"/>
      <c r="OGG365" s="34"/>
      <c r="OGH365" s="36"/>
      <c r="OGI365" s="36"/>
      <c r="OGJ365" s="37"/>
      <c r="OGK365" s="37"/>
      <c r="OGL365" s="38"/>
      <c r="OGM365" s="38"/>
      <c r="OGN365" s="39"/>
      <c r="OGO365" s="34"/>
      <c r="OGP365" s="34"/>
      <c r="OGQ365" s="34"/>
      <c r="OGR365" s="35"/>
      <c r="OGS365" s="35"/>
      <c r="OGT365" s="35"/>
      <c r="OGU365" s="35"/>
      <c r="OGV365" s="35"/>
      <c r="OGW365" s="34"/>
      <c r="OGX365" s="34"/>
      <c r="OGY365" s="36"/>
      <c r="OGZ365" s="36"/>
      <c r="OHA365" s="37"/>
      <c r="OHB365" s="37"/>
      <c r="OHC365" s="38"/>
      <c r="OHD365" s="38"/>
      <c r="OHE365" s="39"/>
      <c r="OHF365" s="34"/>
      <c r="OHG365" s="34"/>
      <c r="OHH365" s="34"/>
      <c r="OHI365" s="35"/>
      <c r="OHJ365" s="35"/>
      <c r="OHK365" s="35"/>
      <c r="OHL365" s="35"/>
      <c r="OHM365" s="35"/>
      <c r="OHN365" s="34"/>
      <c r="OHO365" s="34"/>
      <c r="OHP365" s="36"/>
      <c r="OHQ365" s="36"/>
      <c r="OHR365" s="37"/>
      <c r="OHS365" s="37"/>
      <c r="OHT365" s="38"/>
      <c r="OHU365" s="38"/>
      <c r="OHV365" s="39"/>
      <c r="OHW365" s="34"/>
      <c r="OHX365" s="34"/>
      <c r="OHY365" s="34"/>
      <c r="OHZ365" s="35"/>
      <c r="OIA365" s="35"/>
      <c r="OIB365" s="35"/>
      <c r="OIC365" s="35"/>
      <c r="OID365" s="35"/>
      <c r="OIE365" s="34"/>
      <c r="OIF365" s="34"/>
      <c r="OIG365" s="36"/>
      <c r="OIH365" s="36"/>
      <c r="OII365" s="37"/>
      <c r="OIJ365" s="37"/>
      <c r="OIK365" s="38"/>
      <c r="OIL365" s="38"/>
      <c r="OIM365" s="39"/>
      <c r="OIN365" s="34"/>
      <c r="OIO365" s="34"/>
      <c r="OIP365" s="34"/>
      <c r="OIQ365" s="35"/>
      <c r="OIR365" s="35"/>
      <c r="OIS365" s="35"/>
      <c r="OIT365" s="35"/>
      <c r="OIU365" s="35"/>
      <c r="OIV365" s="34"/>
      <c r="OIW365" s="34"/>
      <c r="OIX365" s="36"/>
      <c r="OIY365" s="36"/>
      <c r="OIZ365" s="37"/>
      <c r="OJA365" s="37"/>
      <c r="OJB365" s="38"/>
      <c r="OJC365" s="38"/>
      <c r="OJD365" s="39"/>
      <c r="OJE365" s="34"/>
      <c r="OJF365" s="34"/>
      <c r="OJG365" s="34"/>
      <c r="OJH365" s="35"/>
      <c r="OJI365" s="35"/>
      <c r="OJJ365" s="35"/>
      <c r="OJK365" s="35"/>
      <c r="OJL365" s="35"/>
      <c r="OJM365" s="34"/>
      <c r="OJN365" s="34"/>
      <c r="OJO365" s="36"/>
      <c r="OJP365" s="36"/>
      <c r="OJQ365" s="37"/>
      <c r="OJR365" s="37"/>
      <c r="OJS365" s="38"/>
      <c r="OJT365" s="38"/>
      <c r="OJU365" s="39"/>
      <c r="OJV365" s="34"/>
      <c r="OJW365" s="34"/>
      <c r="OJX365" s="34"/>
      <c r="OJY365" s="35"/>
      <c r="OJZ365" s="35"/>
      <c r="OKA365" s="35"/>
      <c r="OKB365" s="35"/>
      <c r="OKC365" s="35"/>
      <c r="OKD365" s="34"/>
      <c r="OKE365" s="34"/>
      <c r="OKF365" s="36"/>
      <c r="OKG365" s="36"/>
      <c r="OKH365" s="37"/>
      <c r="OKI365" s="37"/>
      <c r="OKJ365" s="38"/>
      <c r="OKK365" s="38"/>
      <c r="OKL365" s="39"/>
      <c r="OKM365" s="34"/>
      <c r="OKN365" s="34"/>
      <c r="OKO365" s="34"/>
      <c r="OKP365" s="35"/>
      <c r="OKQ365" s="35"/>
      <c r="OKR365" s="35"/>
      <c r="OKS365" s="35"/>
      <c r="OKT365" s="35"/>
      <c r="OKU365" s="34"/>
      <c r="OKV365" s="34"/>
      <c r="OKW365" s="36"/>
      <c r="OKX365" s="36"/>
      <c r="OKY365" s="37"/>
      <c r="OKZ365" s="37"/>
      <c r="OLA365" s="38"/>
      <c r="OLB365" s="38"/>
      <c r="OLC365" s="39"/>
      <c r="OLD365" s="34"/>
      <c r="OLE365" s="34"/>
      <c r="OLF365" s="34"/>
      <c r="OLG365" s="35"/>
      <c r="OLH365" s="35"/>
      <c r="OLI365" s="35"/>
      <c r="OLJ365" s="35"/>
      <c r="OLK365" s="35"/>
      <c r="OLL365" s="34"/>
      <c r="OLM365" s="34"/>
      <c r="OLN365" s="36"/>
      <c r="OLO365" s="36"/>
      <c r="OLP365" s="37"/>
      <c r="OLQ365" s="37"/>
      <c r="OLR365" s="38"/>
      <c r="OLS365" s="38"/>
      <c r="OLT365" s="39"/>
      <c r="OLU365" s="34"/>
      <c r="OLV365" s="34"/>
      <c r="OLW365" s="34"/>
      <c r="OLX365" s="35"/>
      <c r="OLY365" s="35"/>
      <c r="OLZ365" s="35"/>
      <c r="OMA365" s="35"/>
      <c r="OMB365" s="35"/>
      <c r="OMC365" s="34"/>
      <c r="OMD365" s="34"/>
      <c r="OME365" s="36"/>
      <c r="OMF365" s="36"/>
      <c r="OMG365" s="37"/>
      <c r="OMH365" s="37"/>
      <c r="OMI365" s="38"/>
      <c r="OMJ365" s="38"/>
      <c r="OMK365" s="39"/>
      <c r="OML365" s="34"/>
      <c r="OMM365" s="34"/>
      <c r="OMN365" s="34"/>
      <c r="OMO365" s="35"/>
      <c r="OMP365" s="35"/>
      <c r="OMQ365" s="35"/>
      <c r="OMR365" s="35"/>
      <c r="OMS365" s="35"/>
      <c r="OMT365" s="34"/>
      <c r="OMU365" s="34"/>
      <c r="OMV365" s="36"/>
      <c r="OMW365" s="36"/>
      <c r="OMX365" s="37"/>
      <c r="OMY365" s="37"/>
      <c r="OMZ365" s="38"/>
      <c r="ONA365" s="38"/>
      <c r="ONB365" s="39"/>
      <c r="ONC365" s="34"/>
      <c r="OND365" s="34"/>
      <c r="ONE365" s="34"/>
      <c r="ONF365" s="35"/>
      <c r="ONG365" s="35"/>
      <c r="ONH365" s="35"/>
      <c r="ONI365" s="35"/>
      <c r="ONJ365" s="35"/>
      <c r="ONK365" s="34"/>
      <c r="ONL365" s="34"/>
      <c r="ONM365" s="36"/>
      <c r="ONN365" s="36"/>
      <c r="ONO365" s="37"/>
      <c r="ONP365" s="37"/>
      <c r="ONQ365" s="38"/>
      <c r="ONR365" s="38"/>
      <c r="ONS365" s="39"/>
      <c r="ONT365" s="34"/>
      <c r="ONU365" s="34"/>
      <c r="ONV365" s="34"/>
      <c r="ONW365" s="35"/>
      <c r="ONX365" s="35"/>
      <c r="ONY365" s="35"/>
      <c r="ONZ365" s="35"/>
      <c r="OOA365" s="35"/>
      <c r="OOB365" s="34"/>
      <c r="OOC365" s="34"/>
      <c r="OOD365" s="36"/>
      <c r="OOE365" s="36"/>
      <c r="OOF365" s="37"/>
      <c r="OOG365" s="37"/>
      <c r="OOH365" s="38"/>
      <c r="OOI365" s="38"/>
      <c r="OOJ365" s="39"/>
      <c r="OOK365" s="34"/>
      <c r="OOL365" s="34"/>
      <c r="OOM365" s="34"/>
      <c r="OON365" s="35"/>
      <c r="OOO365" s="35"/>
      <c r="OOP365" s="35"/>
      <c r="OOQ365" s="35"/>
      <c r="OOR365" s="35"/>
      <c r="OOS365" s="34"/>
      <c r="OOT365" s="34"/>
      <c r="OOU365" s="36"/>
      <c r="OOV365" s="36"/>
      <c r="OOW365" s="37"/>
      <c r="OOX365" s="37"/>
      <c r="OOY365" s="38"/>
      <c r="OOZ365" s="38"/>
      <c r="OPA365" s="39"/>
      <c r="OPB365" s="34"/>
      <c r="OPC365" s="34"/>
      <c r="OPD365" s="34"/>
      <c r="OPE365" s="35"/>
      <c r="OPF365" s="35"/>
      <c r="OPG365" s="35"/>
      <c r="OPH365" s="35"/>
      <c r="OPI365" s="35"/>
      <c r="OPJ365" s="34"/>
      <c r="OPK365" s="34"/>
      <c r="OPL365" s="36"/>
      <c r="OPM365" s="36"/>
      <c r="OPN365" s="37"/>
      <c r="OPO365" s="37"/>
      <c r="OPP365" s="38"/>
      <c r="OPQ365" s="38"/>
      <c r="OPR365" s="39"/>
      <c r="OPS365" s="34"/>
      <c r="OPT365" s="34"/>
      <c r="OPU365" s="34"/>
      <c r="OPV365" s="35"/>
      <c r="OPW365" s="35"/>
      <c r="OPX365" s="35"/>
      <c r="OPY365" s="35"/>
      <c r="OPZ365" s="35"/>
      <c r="OQA365" s="34"/>
      <c r="OQB365" s="34"/>
      <c r="OQC365" s="36"/>
      <c r="OQD365" s="36"/>
      <c r="OQE365" s="37"/>
      <c r="OQF365" s="37"/>
      <c r="OQG365" s="38"/>
      <c r="OQH365" s="38"/>
      <c r="OQI365" s="39"/>
      <c r="OQJ365" s="34"/>
      <c r="OQK365" s="34"/>
      <c r="OQL365" s="34"/>
      <c r="OQM365" s="35"/>
      <c r="OQN365" s="35"/>
      <c r="OQO365" s="35"/>
      <c r="OQP365" s="35"/>
      <c r="OQQ365" s="35"/>
      <c r="OQR365" s="34"/>
      <c r="OQS365" s="34"/>
      <c r="OQT365" s="36"/>
      <c r="OQU365" s="36"/>
      <c r="OQV365" s="37"/>
      <c r="OQW365" s="37"/>
      <c r="OQX365" s="38"/>
      <c r="OQY365" s="38"/>
      <c r="OQZ365" s="39"/>
      <c r="ORA365" s="34"/>
      <c r="ORB365" s="34"/>
      <c r="ORC365" s="34"/>
      <c r="ORD365" s="35"/>
      <c r="ORE365" s="35"/>
      <c r="ORF365" s="35"/>
      <c r="ORG365" s="35"/>
      <c r="ORH365" s="35"/>
      <c r="ORI365" s="34"/>
      <c r="ORJ365" s="34"/>
      <c r="ORK365" s="36"/>
      <c r="ORL365" s="36"/>
      <c r="ORM365" s="37"/>
      <c r="ORN365" s="37"/>
      <c r="ORO365" s="38"/>
      <c r="ORP365" s="38"/>
      <c r="ORQ365" s="39"/>
      <c r="ORR365" s="34"/>
      <c r="ORS365" s="34"/>
      <c r="ORT365" s="34"/>
      <c r="ORU365" s="35"/>
      <c r="ORV365" s="35"/>
      <c r="ORW365" s="35"/>
      <c r="ORX365" s="35"/>
      <c r="ORY365" s="35"/>
      <c r="ORZ365" s="34"/>
      <c r="OSA365" s="34"/>
      <c r="OSB365" s="36"/>
      <c r="OSC365" s="36"/>
      <c r="OSD365" s="37"/>
      <c r="OSE365" s="37"/>
      <c r="OSF365" s="38"/>
      <c r="OSG365" s="38"/>
      <c r="OSH365" s="39"/>
      <c r="OSI365" s="34"/>
      <c r="OSJ365" s="34"/>
      <c r="OSK365" s="34"/>
      <c r="OSL365" s="35"/>
      <c r="OSM365" s="35"/>
      <c r="OSN365" s="35"/>
      <c r="OSO365" s="35"/>
      <c r="OSP365" s="35"/>
      <c r="OSQ365" s="34"/>
      <c r="OSR365" s="34"/>
      <c r="OSS365" s="36"/>
      <c r="OST365" s="36"/>
      <c r="OSU365" s="37"/>
      <c r="OSV365" s="37"/>
      <c r="OSW365" s="38"/>
      <c r="OSX365" s="38"/>
      <c r="OSY365" s="39"/>
      <c r="OSZ365" s="34"/>
      <c r="OTA365" s="34"/>
      <c r="OTB365" s="34"/>
      <c r="OTC365" s="35"/>
      <c r="OTD365" s="35"/>
      <c r="OTE365" s="35"/>
      <c r="OTF365" s="35"/>
      <c r="OTG365" s="35"/>
      <c r="OTH365" s="34"/>
      <c r="OTI365" s="34"/>
      <c r="OTJ365" s="36"/>
      <c r="OTK365" s="36"/>
      <c r="OTL365" s="37"/>
      <c r="OTM365" s="37"/>
      <c r="OTN365" s="38"/>
      <c r="OTO365" s="38"/>
      <c r="OTP365" s="39"/>
      <c r="OTQ365" s="34"/>
      <c r="OTR365" s="34"/>
      <c r="OTS365" s="34"/>
      <c r="OTT365" s="35"/>
      <c r="OTU365" s="35"/>
      <c r="OTV365" s="35"/>
      <c r="OTW365" s="35"/>
      <c r="OTX365" s="35"/>
      <c r="OTY365" s="34"/>
      <c r="OTZ365" s="34"/>
      <c r="OUA365" s="36"/>
      <c r="OUB365" s="36"/>
      <c r="OUC365" s="37"/>
      <c r="OUD365" s="37"/>
      <c r="OUE365" s="38"/>
      <c r="OUF365" s="38"/>
      <c r="OUG365" s="39"/>
      <c r="OUH365" s="34"/>
      <c r="OUI365" s="34"/>
      <c r="OUJ365" s="34"/>
      <c r="OUK365" s="35"/>
      <c r="OUL365" s="35"/>
      <c r="OUM365" s="35"/>
      <c r="OUN365" s="35"/>
      <c r="OUO365" s="35"/>
      <c r="OUP365" s="34"/>
      <c r="OUQ365" s="34"/>
      <c r="OUR365" s="36"/>
      <c r="OUS365" s="36"/>
      <c r="OUT365" s="37"/>
      <c r="OUU365" s="37"/>
      <c r="OUV365" s="38"/>
      <c r="OUW365" s="38"/>
      <c r="OUX365" s="39"/>
      <c r="OUY365" s="34"/>
      <c r="OUZ365" s="34"/>
      <c r="OVA365" s="34"/>
      <c r="OVB365" s="35"/>
      <c r="OVC365" s="35"/>
      <c r="OVD365" s="35"/>
      <c r="OVE365" s="35"/>
      <c r="OVF365" s="35"/>
      <c r="OVG365" s="34"/>
      <c r="OVH365" s="34"/>
      <c r="OVI365" s="36"/>
      <c r="OVJ365" s="36"/>
      <c r="OVK365" s="37"/>
      <c r="OVL365" s="37"/>
      <c r="OVM365" s="38"/>
      <c r="OVN365" s="38"/>
      <c r="OVO365" s="39"/>
      <c r="OVP365" s="34"/>
      <c r="OVQ365" s="34"/>
      <c r="OVR365" s="34"/>
      <c r="OVS365" s="35"/>
      <c r="OVT365" s="35"/>
      <c r="OVU365" s="35"/>
      <c r="OVV365" s="35"/>
      <c r="OVW365" s="35"/>
      <c r="OVX365" s="34"/>
      <c r="OVY365" s="34"/>
      <c r="OVZ365" s="36"/>
      <c r="OWA365" s="36"/>
      <c r="OWB365" s="37"/>
      <c r="OWC365" s="37"/>
      <c r="OWD365" s="38"/>
      <c r="OWE365" s="38"/>
      <c r="OWF365" s="39"/>
      <c r="OWG365" s="34"/>
      <c r="OWH365" s="34"/>
      <c r="OWI365" s="34"/>
      <c r="OWJ365" s="35"/>
      <c r="OWK365" s="35"/>
      <c r="OWL365" s="35"/>
      <c r="OWM365" s="35"/>
      <c r="OWN365" s="35"/>
      <c r="OWO365" s="34"/>
      <c r="OWP365" s="34"/>
      <c r="OWQ365" s="36"/>
      <c r="OWR365" s="36"/>
      <c r="OWS365" s="37"/>
      <c r="OWT365" s="37"/>
      <c r="OWU365" s="38"/>
      <c r="OWV365" s="38"/>
      <c r="OWW365" s="39"/>
      <c r="OWX365" s="34"/>
      <c r="OWY365" s="34"/>
      <c r="OWZ365" s="34"/>
      <c r="OXA365" s="35"/>
      <c r="OXB365" s="35"/>
      <c r="OXC365" s="35"/>
      <c r="OXD365" s="35"/>
      <c r="OXE365" s="35"/>
      <c r="OXF365" s="34"/>
      <c r="OXG365" s="34"/>
      <c r="OXH365" s="36"/>
      <c r="OXI365" s="36"/>
      <c r="OXJ365" s="37"/>
      <c r="OXK365" s="37"/>
      <c r="OXL365" s="38"/>
      <c r="OXM365" s="38"/>
      <c r="OXN365" s="39"/>
      <c r="OXO365" s="34"/>
      <c r="OXP365" s="34"/>
      <c r="OXQ365" s="34"/>
      <c r="OXR365" s="35"/>
      <c r="OXS365" s="35"/>
      <c r="OXT365" s="35"/>
      <c r="OXU365" s="35"/>
      <c r="OXV365" s="35"/>
      <c r="OXW365" s="34"/>
      <c r="OXX365" s="34"/>
      <c r="OXY365" s="36"/>
      <c r="OXZ365" s="36"/>
      <c r="OYA365" s="37"/>
      <c r="OYB365" s="37"/>
      <c r="OYC365" s="38"/>
      <c r="OYD365" s="38"/>
      <c r="OYE365" s="39"/>
      <c r="OYF365" s="34"/>
      <c r="OYG365" s="34"/>
      <c r="OYH365" s="34"/>
      <c r="OYI365" s="35"/>
      <c r="OYJ365" s="35"/>
      <c r="OYK365" s="35"/>
      <c r="OYL365" s="35"/>
      <c r="OYM365" s="35"/>
      <c r="OYN365" s="34"/>
      <c r="OYO365" s="34"/>
      <c r="OYP365" s="36"/>
      <c r="OYQ365" s="36"/>
      <c r="OYR365" s="37"/>
      <c r="OYS365" s="37"/>
      <c r="OYT365" s="38"/>
      <c r="OYU365" s="38"/>
      <c r="OYV365" s="39"/>
      <c r="OYW365" s="34"/>
      <c r="OYX365" s="34"/>
      <c r="OYY365" s="34"/>
      <c r="OYZ365" s="35"/>
      <c r="OZA365" s="35"/>
      <c r="OZB365" s="35"/>
      <c r="OZC365" s="35"/>
      <c r="OZD365" s="35"/>
      <c r="OZE365" s="34"/>
      <c r="OZF365" s="34"/>
      <c r="OZG365" s="36"/>
      <c r="OZH365" s="36"/>
      <c r="OZI365" s="37"/>
      <c r="OZJ365" s="37"/>
      <c r="OZK365" s="38"/>
      <c r="OZL365" s="38"/>
      <c r="OZM365" s="39"/>
      <c r="OZN365" s="34"/>
      <c r="OZO365" s="34"/>
      <c r="OZP365" s="34"/>
      <c r="OZQ365" s="35"/>
      <c r="OZR365" s="35"/>
      <c r="OZS365" s="35"/>
      <c r="OZT365" s="35"/>
      <c r="OZU365" s="35"/>
      <c r="OZV365" s="34"/>
      <c r="OZW365" s="34"/>
      <c r="OZX365" s="36"/>
      <c r="OZY365" s="36"/>
      <c r="OZZ365" s="37"/>
      <c r="PAA365" s="37"/>
      <c r="PAB365" s="38"/>
      <c r="PAC365" s="38"/>
      <c r="PAD365" s="39"/>
      <c r="PAE365" s="34"/>
      <c r="PAF365" s="34"/>
      <c r="PAG365" s="34"/>
      <c r="PAH365" s="35"/>
      <c r="PAI365" s="35"/>
      <c r="PAJ365" s="35"/>
      <c r="PAK365" s="35"/>
      <c r="PAL365" s="35"/>
      <c r="PAM365" s="34"/>
      <c r="PAN365" s="34"/>
      <c r="PAO365" s="36"/>
      <c r="PAP365" s="36"/>
      <c r="PAQ365" s="37"/>
      <c r="PAR365" s="37"/>
      <c r="PAS365" s="38"/>
      <c r="PAT365" s="38"/>
      <c r="PAU365" s="39"/>
      <c r="PAV365" s="34"/>
      <c r="PAW365" s="34"/>
      <c r="PAX365" s="34"/>
      <c r="PAY365" s="35"/>
      <c r="PAZ365" s="35"/>
      <c r="PBA365" s="35"/>
      <c r="PBB365" s="35"/>
      <c r="PBC365" s="35"/>
      <c r="PBD365" s="34"/>
      <c r="PBE365" s="34"/>
      <c r="PBF365" s="36"/>
      <c r="PBG365" s="36"/>
      <c r="PBH365" s="37"/>
      <c r="PBI365" s="37"/>
      <c r="PBJ365" s="38"/>
      <c r="PBK365" s="38"/>
      <c r="PBL365" s="39"/>
      <c r="PBM365" s="34"/>
      <c r="PBN365" s="34"/>
      <c r="PBO365" s="34"/>
      <c r="PBP365" s="35"/>
      <c r="PBQ365" s="35"/>
      <c r="PBR365" s="35"/>
      <c r="PBS365" s="35"/>
      <c r="PBT365" s="35"/>
      <c r="PBU365" s="34"/>
      <c r="PBV365" s="34"/>
      <c r="PBW365" s="36"/>
      <c r="PBX365" s="36"/>
      <c r="PBY365" s="37"/>
      <c r="PBZ365" s="37"/>
      <c r="PCA365" s="38"/>
      <c r="PCB365" s="38"/>
      <c r="PCC365" s="39"/>
      <c r="PCD365" s="34"/>
      <c r="PCE365" s="34"/>
      <c r="PCF365" s="34"/>
      <c r="PCG365" s="35"/>
      <c r="PCH365" s="35"/>
      <c r="PCI365" s="35"/>
      <c r="PCJ365" s="35"/>
      <c r="PCK365" s="35"/>
      <c r="PCL365" s="34"/>
      <c r="PCM365" s="34"/>
      <c r="PCN365" s="36"/>
      <c r="PCO365" s="36"/>
      <c r="PCP365" s="37"/>
      <c r="PCQ365" s="37"/>
      <c r="PCR365" s="38"/>
      <c r="PCS365" s="38"/>
      <c r="PCT365" s="39"/>
      <c r="PCU365" s="34"/>
      <c r="PCV365" s="34"/>
      <c r="PCW365" s="34"/>
      <c r="PCX365" s="35"/>
      <c r="PCY365" s="35"/>
      <c r="PCZ365" s="35"/>
      <c r="PDA365" s="35"/>
      <c r="PDB365" s="35"/>
      <c r="PDC365" s="34"/>
      <c r="PDD365" s="34"/>
      <c r="PDE365" s="36"/>
      <c r="PDF365" s="36"/>
      <c r="PDG365" s="37"/>
      <c r="PDH365" s="37"/>
      <c r="PDI365" s="38"/>
      <c r="PDJ365" s="38"/>
      <c r="PDK365" s="39"/>
      <c r="PDL365" s="34"/>
      <c r="PDM365" s="34"/>
      <c r="PDN365" s="34"/>
      <c r="PDO365" s="35"/>
      <c r="PDP365" s="35"/>
      <c r="PDQ365" s="35"/>
      <c r="PDR365" s="35"/>
      <c r="PDS365" s="35"/>
      <c r="PDT365" s="34"/>
      <c r="PDU365" s="34"/>
      <c r="PDV365" s="36"/>
      <c r="PDW365" s="36"/>
      <c r="PDX365" s="37"/>
      <c r="PDY365" s="37"/>
      <c r="PDZ365" s="38"/>
      <c r="PEA365" s="38"/>
      <c r="PEB365" s="39"/>
      <c r="PEC365" s="34"/>
      <c r="PED365" s="34"/>
      <c r="PEE365" s="34"/>
      <c r="PEF365" s="35"/>
      <c r="PEG365" s="35"/>
      <c r="PEH365" s="35"/>
      <c r="PEI365" s="35"/>
      <c r="PEJ365" s="35"/>
      <c r="PEK365" s="34"/>
      <c r="PEL365" s="34"/>
      <c r="PEM365" s="36"/>
      <c r="PEN365" s="36"/>
      <c r="PEO365" s="37"/>
      <c r="PEP365" s="37"/>
      <c r="PEQ365" s="38"/>
      <c r="PER365" s="38"/>
      <c r="PES365" s="39"/>
      <c r="PET365" s="34"/>
      <c r="PEU365" s="34"/>
      <c r="PEV365" s="34"/>
      <c r="PEW365" s="35"/>
      <c r="PEX365" s="35"/>
      <c r="PEY365" s="35"/>
      <c r="PEZ365" s="35"/>
      <c r="PFA365" s="35"/>
      <c r="PFB365" s="34"/>
      <c r="PFC365" s="34"/>
      <c r="PFD365" s="36"/>
      <c r="PFE365" s="36"/>
      <c r="PFF365" s="37"/>
      <c r="PFG365" s="37"/>
      <c r="PFH365" s="38"/>
      <c r="PFI365" s="38"/>
      <c r="PFJ365" s="39"/>
      <c r="PFK365" s="34"/>
      <c r="PFL365" s="34"/>
      <c r="PFM365" s="34"/>
      <c r="PFN365" s="35"/>
      <c r="PFO365" s="35"/>
      <c r="PFP365" s="35"/>
      <c r="PFQ365" s="35"/>
      <c r="PFR365" s="35"/>
      <c r="PFS365" s="34"/>
      <c r="PFT365" s="34"/>
      <c r="PFU365" s="36"/>
      <c r="PFV365" s="36"/>
      <c r="PFW365" s="37"/>
      <c r="PFX365" s="37"/>
      <c r="PFY365" s="38"/>
      <c r="PFZ365" s="38"/>
      <c r="PGA365" s="39"/>
      <c r="PGB365" s="34"/>
      <c r="PGC365" s="34"/>
      <c r="PGD365" s="34"/>
      <c r="PGE365" s="35"/>
      <c r="PGF365" s="35"/>
      <c r="PGG365" s="35"/>
      <c r="PGH365" s="35"/>
      <c r="PGI365" s="35"/>
      <c r="PGJ365" s="34"/>
      <c r="PGK365" s="34"/>
      <c r="PGL365" s="36"/>
      <c r="PGM365" s="36"/>
      <c r="PGN365" s="37"/>
      <c r="PGO365" s="37"/>
      <c r="PGP365" s="38"/>
      <c r="PGQ365" s="38"/>
      <c r="PGR365" s="39"/>
      <c r="PGS365" s="34"/>
      <c r="PGT365" s="34"/>
      <c r="PGU365" s="34"/>
      <c r="PGV365" s="35"/>
      <c r="PGW365" s="35"/>
      <c r="PGX365" s="35"/>
      <c r="PGY365" s="35"/>
      <c r="PGZ365" s="35"/>
      <c r="PHA365" s="34"/>
      <c r="PHB365" s="34"/>
      <c r="PHC365" s="36"/>
      <c r="PHD365" s="36"/>
      <c r="PHE365" s="37"/>
      <c r="PHF365" s="37"/>
      <c r="PHG365" s="38"/>
      <c r="PHH365" s="38"/>
      <c r="PHI365" s="39"/>
      <c r="PHJ365" s="34"/>
      <c r="PHK365" s="34"/>
      <c r="PHL365" s="34"/>
      <c r="PHM365" s="35"/>
      <c r="PHN365" s="35"/>
      <c r="PHO365" s="35"/>
      <c r="PHP365" s="35"/>
      <c r="PHQ365" s="35"/>
      <c r="PHR365" s="34"/>
      <c r="PHS365" s="34"/>
      <c r="PHT365" s="36"/>
      <c r="PHU365" s="36"/>
      <c r="PHV365" s="37"/>
      <c r="PHW365" s="37"/>
      <c r="PHX365" s="38"/>
      <c r="PHY365" s="38"/>
      <c r="PHZ365" s="39"/>
      <c r="PIA365" s="34"/>
      <c r="PIB365" s="34"/>
      <c r="PIC365" s="34"/>
      <c r="PID365" s="35"/>
      <c r="PIE365" s="35"/>
      <c r="PIF365" s="35"/>
      <c r="PIG365" s="35"/>
      <c r="PIH365" s="35"/>
      <c r="PII365" s="34"/>
      <c r="PIJ365" s="34"/>
      <c r="PIK365" s="36"/>
      <c r="PIL365" s="36"/>
      <c r="PIM365" s="37"/>
      <c r="PIN365" s="37"/>
      <c r="PIO365" s="38"/>
      <c r="PIP365" s="38"/>
      <c r="PIQ365" s="39"/>
      <c r="PIR365" s="34"/>
      <c r="PIS365" s="34"/>
      <c r="PIT365" s="34"/>
      <c r="PIU365" s="35"/>
      <c r="PIV365" s="35"/>
      <c r="PIW365" s="35"/>
      <c r="PIX365" s="35"/>
      <c r="PIY365" s="35"/>
      <c r="PIZ365" s="34"/>
      <c r="PJA365" s="34"/>
      <c r="PJB365" s="36"/>
      <c r="PJC365" s="36"/>
      <c r="PJD365" s="37"/>
      <c r="PJE365" s="37"/>
      <c r="PJF365" s="38"/>
      <c r="PJG365" s="38"/>
      <c r="PJH365" s="39"/>
      <c r="PJI365" s="34"/>
      <c r="PJJ365" s="34"/>
      <c r="PJK365" s="34"/>
      <c r="PJL365" s="35"/>
      <c r="PJM365" s="35"/>
      <c r="PJN365" s="35"/>
      <c r="PJO365" s="35"/>
      <c r="PJP365" s="35"/>
      <c r="PJQ365" s="34"/>
      <c r="PJR365" s="34"/>
      <c r="PJS365" s="36"/>
      <c r="PJT365" s="36"/>
      <c r="PJU365" s="37"/>
      <c r="PJV365" s="37"/>
      <c r="PJW365" s="38"/>
      <c r="PJX365" s="38"/>
      <c r="PJY365" s="39"/>
      <c r="PJZ365" s="34"/>
      <c r="PKA365" s="34"/>
      <c r="PKB365" s="34"/>
      <c r="PKC365" s="35"/>
      <c r="PKD365" s="35"/>
      <c r="PKE365" s="35"/>
      <c r="PKF365" s="35"/>
      <c r="PKG365" s="35"/>
      <c r="PKH365" s="34"/>
      <c r="PKI365" s="34"/>
      <c r="PKJ365" s="36"/>
      <c r="PKK365" s="36"/>
      <c r="PKL365" s="37"/>
      <c r="PKM365" s="37"/>
      <c r="PKN365" s="38"/>
      <c r="PKO365" s="38"/>
      <c r="PKP365" s="39"/>
      <c r="PKQ365" s="34"/>
      <c r="PKR365" s="34"/>
      <c r="PKS365" s="34"/>
      <c r="PKT365" s="35"/>
      <c r="PKU365" s="35"/>
      <c r="PKV365" s="35"/>
      <c r="PKW365" s="35"/>
      <c r="PKX365" s="35"/>
      <c r="PKY365" s="34"/>
      <c r="PKZ365" s="34"/>
      <c r="PLA365" s="36"/>
      <c r="PLB365" s="36"/>
      <c r="PLC365" s="37"/>
      <c r="PLD365" s="37"/>
      <c r="PLE365" s="38"/>
      <c r="PLF365" s="38"/>
      <c r="PLG365" s="39"/>
      <c r="PLH365" s="34"/>
      <c r="PLI365" s="34"/>
      <c r="PLJ365" s="34"/>
      <c r="PLK365" s="35"/>
      <c r="PLL365" s="35"/>
      <c r="PLM365" s="35"/>
      <c r="PLN365" s="35"/>
      <c r="PLO365" s="35"/>
      <c r="PLP365" s="34"/>
      <c r="PLQ365" s="34"/>
      <c r="PLR365" s="36"/>
      <c r="PLS365" s="36"/>
      <c r="PLT365" s="37"/>
      <c r="PLU365" s="37"/>
      <c r="PLV365" s="38"/>
      <c r="PLW365" s="38"/>
      <c r="PLX365" s="39"/>
      <c r="PLY365" s="34"/>
      <c r="PLZ365" s="34"/>
      <c r="PMA365" s="34"/>
      <c r="PMB365" s="35"/>
      <c r="PMC365" s="35"/>
      <c r="PMD365" s="35"/>
      <c r="PME365" s="35"/>
      <c r="PMF365" s="35"/>
      <c r="PMG365" s="34"/>
      <c r="PMH365" s="34"/>
      <c r="PMI365" s="36"/>
      <c r="PMJ365" s="36"/>
      <c r="PMK365" s="37"/>
      <c r="PML365" s="37"/>
      <c r="PMM365" s="38"/>
      <c r="PMN365" s="38"/>
      <c r="PMO365" s="39"/>
      <c r="PMP365" s="34"/>
      <c r="PMQ365" s="34"/>
      <c r="PMR365" s="34"/>
      <c r="PMS365" s="35"/>
      <c r="PMT365" s="35"/>
      <c r="PMU365" s="35"/>
      <c r="PMV365" s="35"/>
      <c r="PMW365" s="35"/>
      <c r="PMX365" s="34"/>
      <c r="PMY365" s="34"/>
      <c r="PMZ365" s="36"/>
      <c r="PNA365" s="36"/>
      <c r="PNB365" s="37"/>
      <c r="PNC365" s="37"/>
      <c r="PND365" s="38"/>
      <c r="PNE365" s="38"/>
      <c r="PNF365" s="39"/>
      <c r="PNG365" s="34"/>
      <c r="PNH365" s="34"/>
      <c r="PNI365" s="34"/>
      <c r="PNJ365" s="35"/>
      <c r="PNK365" s="35"/>
      <c r="PNL365" s="35"/>
      <c r="PNM365" s="35"/>
      <c r="PNN365" s="35"/>
      <c r="PNO365" s="34"/>
      <c r="PNP365" s="34"/>
      <c r="PNQ365" s="36"/>
      <c r="PNR365" s="36"/>
      <c r="PNS365" s="37"/>
      <c r="PNT365" s="37"/>
      <c r="PNU365" s="38"/>
      <c r="PNV365" s="38"/>
      <c r="PNW365" s="39"/>
      <c r="PNX365" s="34"/>
      <c r="PNY365" s="34"/>
      <c r="PNZ365" s="34"/>
      <c r="POA365" s="35"/>
      <c r="POB365" s="35"/>
      <c r="POC365" s="35"/>
      <c r="POD365" s="35"/>
      <c r="POE365" s="35"/>
      <c r="POF365" s="34"/>
      <c r="POG365" s="34"/>
      <c r="POH365" s="36"/>
      <c r="POI365" s="36"/>
      <c r="POJ365" s="37"/>
      <c r="POK365" s="37"/>
      <c r="POL365" s="38"/>
      <c r="POM365" s="38"/>
      <c r="PON365" s="39"/>
      <c r="POO365" s="34"/>
      <c r="POP365" s="34"/>
      <c r="POQ365" s="34"/>
      <c r="POR365" s="35"/>
      <c r="POS365" s="35"/>
      <c r="POT365" s="35"/>
      <c r="POU365" s="35"/>
      <c r="POV365" s="35"/>
      <c r="POW365" s="34"/>
      <c r="POX365" s="34"/>
      <c r="POY365" s="36"/>
      <c r="POZ365" s="36"/>
      <c r="PPA365" s="37"/>
      <c r="PPB365" s="37"/>
      <c r="PPC365" s="38"/>
      <c r="PPD365" s="38"/>
      <c r="PPE365" s="39"/>
      <c r="PPF365" s="34"/>
      <c r="PPG365" s="34"/>
      <c r="PPH365" s="34"/>
      <c r="PPI365" s="35"/>
      <c r="PPJ365" s="35"/>
      <c r="PPK365" s="35"/>
      <c r="PPL365" s="35"/>
      <c r="PPM365" s="35"/>
      <c r="PPN365" s="34"/>
      <c r="PPO365" s="34"/>
      <c r="PPP365" s="36"/>
      <c r="PPQ365" s="36"/>
      <c r="PPR365" s="37"/>
      <c r="PPS365" s="37"/>
      <c r="PPT365" s="38"/>
      <c r="PPU365" s="38"/>
      <c r="PPV365" s="39"/>
      <c r="PPW365" s="34"/>
      <c r="PPX365" s="34"/>
      <c r="PPY365" s="34"/>
      <c r="PPZ365" s="35"/>
      <c r="PQA365" s="35"/>
      <c r="PQB365" s="35"/>
      <c r="PQC365" s="35"/>
      <c r="PQD365" s="35"/>
      <c r="PQE365" s="34"/>
      <c r="PQF365" s="34"/>
      <c r="PQG365" s="36"/>
      <c r="PQH365" s="36"/>
      <c r="PQI365" s="37"/>
      <c r="PQJ365" s="37"/>
      <c r="PQK365" s="38"/>
      <c r="PQL365" s="38"/>
      <c r="PQM365" s="39"/>
      <c r="PQN365" s="34"/>
      <c r="PQO365" s="34"/>
      <c r="PQP365" s="34"/>
      <c r="PQQ365" s="35"/>
      <c r="PQR365" s="35"/>
      <c r="PQS365" s="35"/>
      <c r="PQT365" s="35"/>
      <c r="PQU365" s="35"/>
      <c r="PQV365" s="34"/>
      <c r="PQW365" s="34"/>
      <c r="PQX365" s="36"/>
      <c r="PQY365" s="36"/>
      <c r="PQZ365" s="37"/>
      <c r="PRA365" s="37"/>
      <c r="PRB365" s="38"/>
      <c r="PRC365" s="38"/>
      <c r="PRD365" s="39"/>
      <c r="PRE365" s="34"/>
      <c r="PRF365" s="34"/>
      <c r="PRG365" s="34"/>
      <c r="PRH365" s="35"/>
      <c r="PRI365" s="35"/>
      <c r="PRJ365" s="35"/>
      <c r="PRK365" s="35"/>
      <c r="PRL365" s="35"/>
      <c r="PRM365" s="34"/>
      <c r="PRN365" s="34"/>
      <c r="PRO365" s="36"/>
      <c r="PRP365" s="36"/>
      <c r="PRQ365" s="37"/>
      <c r="PRR365" s="37"/>
      <c r="PRS365" s="38"/>
      <c r="PRT365" s="38"/>
      <c r="PRU365" s="39"/>
      <c r="PRV365" s="34"/>
      <c r="PRW365" s="34"/>
      <c r="PRX365" s="34"/>
      <c r="PRY365" s="35"/>
      <c r="PRZ365" s="35"/>
      <c r="PSA365" s="35"/>
      <c r="PSB365" s="35"/>
      <c r="PSC365" s="35"/>
      <c r="PSD365" s="34"/>
      <c r="PSE365" s="34"/>
      <c r="PSF365" s="36"/>
      <c r="PSG365" s="36"/>
      <c r="PSH365" s="37"/>
      <c r="PSI365" s="37"/>
      <c r="PSJ365" s="38"/>
      <c r="PSK365" s="38"/>
      <c r="PSL365" s="39"/>
      <c r="PSM365" s="34"/>
      <c r="PSN365" s="34"/>
      <c r="PSO365" s="34"/>
      <c r="PSP365" s="35"/>
      <c r="PSQ365" s="35"/>
      <c r="PSR365" s="35"/>
      <c r="PSS365" s="35"/>
      <c r="PST365" s="35"/>
      <c r="PSU365" s="34"/>
      <c r="PSV365" s="34"/>
      <c r="PSW365" s="36"/>
      <c r="PSX365" s="36"/>
      <c r="PSY365" s="37"/>
      <c r="PSZ365" s="37"/>
      <c r="PTA365" s="38"/>
      <c r="PTB365" s="38"/>
      <c r="PTC365" s="39"/>
      <c r="PTD365" s="34"/>
      <c r="PTE365" s="34"/>
      <c r="PTF365" s="34"/>
      <c r="PTG365" s="35"/>
      <c r="PTH365" s="35"/>
      <c r="PTI365" s="35"/>
      <c r="PTJ365" s="35"/>
      <c r="PTK365" s="35"/>
      <c r="PTL365" s="34"/>
      <c r="PTM365" s="34"/>
      <c r="PTN365" s="36"/>
      <c r="PTO365" s="36"/>
      <c r="PTP365" s="37"/>
      <c r="PTQ365" s="37"/>
      <c r="PTR365" s="38"/>
      <c r="PTS365" s="38"/>
      <c r="PTT365" s="39"/>
      <c r="PTU365" s="34"/>
      <c r="PTV365" s="34"/>
      <c r="PTW365" s="34"/>
      <c r="PTX365" s="35"/>
      <c r="PTY365" s="35"/>
      <c r="PTZ365" s="35"/>
      <c r="PUA365" s="35"/>
      <c r="PUB365" s="35"/>
      <c r="PUC365" s="34"/>
      <c r="PUD365" s="34"/>
      <c r="PUE365" s="36"/>
      <c r="PUF365" s="36"/>
      <c r="PUG365" s="37"/>
      <c r="PUH365" s="37"/>
      <c r="PUI365" s="38"/>
      <c r="PUJ365" s="38"/>
      <c r="PUK365" s="39"/>
      <c r="PUL365" s="34"/>
      <c r="PUM365" s="34"/>
      <c r="PUN365" s="34"/>
      <c r="PUO365" s="35"/>
      <c r="PUP365" s="35"/>
      <c r="PUQ365" s="35"/>
      <c r="PUR365" s="35"/>
      <c r="PUS365" s="35"/>
      <c r="PUT365" s="34"/>
      <c r="PUU365" s="34"/>
      <c r="PUV365" s="36"/>
      <c r="PUW365" s="36"/>
      <c r="PUX365" s="37"/>
      <c r="PUY365" s="37"/>
      <c r="PUZ365" s="38"/>
      <c r="PVA365" s="38"/>
      <c r="PVB365" s="39"/>
      <c r="PVC365" s="34"/>
      <c r="PVD365" s="34"/>
      <c r="PVE365" s="34"/>
      <c r="PVF365" s="35"/>
      <c r="PVG365" s="35"/>
      <c r="PVH365" s="35"/>
      <c r="PVI365" s="35"/>
      <c r="PVJ365" s="35"/>
      <c r="PVK365" s="34"/>
      <c r="PVL365" s="34"/>
      <c r="PVM365" s="36"/>
      <c r="PVN365" s="36"/>
      <c r="PVO365" s="37"/>
      <c r="PVP365" s="37"/>
      <c r="PVQ365" s="38"/>
      <c r="PVR365" s="38"/>
      <c r="PVS365" s="39"/>
      <c r="PVT365" s="34"/>
      <c r="PVU365" s="34"/>
      <c r="PVV365" s="34"/>
      <c r="PVW365" s="35"/>
      <c r="PVX365" s="35"/>
      <c r="PVY365" s="35"/>
      <c r="PVZ365" s="35"/>
      <c r="PWA365" s="35"/>
      <c r="PWB365" s="34"/>
      <c r="PWC365" s="34"/>
      <c r="PWD365" s="36"/>
      <c r="PWE365" s="36"/>
      <c r="PWF365" s="37"/>
      <c r="PWG365" s="37"/>
      <c r="PWH365" s="38"/>
      <c r="PWI365" s="38"/>
      <c r="PWJ365" s="39"/>
      <c r="PWK365" s="34"/>
      <c r="PWL365" s="34"/>
      <c r="PWM365" s="34"/>
      <c r="PWN365" s="35"/>
      <c r="PWO365" s="35"/>
      <c r="PWP365" s="35"/>
      <c r="PWQ365" s="35"/>
      <c r="PWR365" s="35"/>
      <c r="PWS365" s="34"/>
      <c r="PWT365" s="34"/>
      <c r="PWU365" s="36"/>
      <c r="PWV365" s="36"/>
      <c r="PWW365" s="37"/>
      <c r="PWX365" s="37"/>
      <c r="PWY365" s="38"/>
      <c r="PWZ365" s="38"/>
      <c r="PXA365" s="39"/>
      <c r="PXB365" s="34"/>
      <c r="PXC365" s="34"/>
      <c r="PXD365" s="34"/>
      <c r="PXE365" s="35"/>
      <c r="PXF365" s="35"/>
      <c r="PXG365" s="35"/>
      <c r="PXH365" s="35"/>
      <c r="PXI365" s="35"/>
      <c r="PXJ365" s="34"/>
      <c r="PXK365" s="34"/>
      <c r="PXL365" s="36"/>
      <c r="PXM365" s="36"/>
      <c r="PXN365" s="37"/>
      <c r="PXO365" s="37"/>
      <c r="PXP365" s="38"/>
      <c r="PXQ365" s="38"/>
      <c r="PXR365" s="39"/>
      <c r="PXS365" s="34"/>
      <c r="PXT365" s="34"/>
      <c r="PXU365" s="34"/>
      <c r="PXV365" s="35"/>
      <c r="PXW365" s="35"/>
      <c r="PXX365" s="35"/>
      <c r="PXY365" s="35"/>
      <c r="PXZ365" s="35"/>
      <c r="PYA365" s="34"/>
      <c r="PYB365" s="34"/>
      <c r="PYC365" s="36"/>
      <c r="PYD365" s="36"/>
      <c r="PYE365" s="37"/>
      <c r="PYF365" s="37"/>
      <c r="PYG365" s="38"/>
      <c r="PYH365" s="38"/>
      <c r="PYI365" s="39"/>
      <c r="PYJ365" s="34"/>
      <c r="PYK365" s="34"/>
      <c r="PYL365" s="34"/>
      <c r="PYM365" s="35"/>
      <c r="PYN365" s="35"/>
      <c r="PYO365" s="35"/>
      <c r="PYP365" s="35"/>
      <c r="PYQ365" s="35"/>
      <c r="PYR365" s="34"/>
      <c r="PYS365" s="34"/>
      <c r="PYT365" s="36"/>
      <c r="PYU365" s="36"/>
      <c r="PYV365" s="37"/>
      <c r="PYW365" s="37"/>
      <c r="PYX365" s="38"/>
      <c r="PYY365" s="38"/>
      <c r="PYZ365" s="39"/>
      <c r="PZA365" s="34"/>
      <c r="PZB365" s="34"/>
      <c r="PZC365" s="34"/>
      <c r="PZD365" s="35"/>
      <c r="PZE365" s="35"/>
      <c r="PZF365" s="35"/>
      <c r="PZG365" s="35"/>
      <c r="PZH365" s="35"/>
      <c r="PZI365" s="34"/>
      <c r="PZJ365" s="34"/>
      <c r="PZK365" s="36"/>
      <c r="PZL365" s="36"/>
      <c r="PZM365" s="37"/>
      <c r="PZN365" s="37"/>
      <c r="PZO365" s="38"/>
      <c r="PZP365" s="38"/>
      <c r="PZQ365" s="39"/>
      <c r="PZR365" s="34"/>
      <c r="PZS365" s="34"/>
      <c r="PZT365" s="34"/>
      <c r="PZU365" s="35"/>
      <c r="PZV365" s="35"/>
      <c r="PZW365" s="35"/>
      <c r="PZX365" s="35"/>
      <c r="PZY365" s="35"/>
      <c r="PZZ365" s="34"/>
      <c r="QAA365" s="34"/>
      <c r="QAB365" s="36"/>
      <c r="QAC365" s="36"/>
      <c r="QAD365" s="37"/>
      <c r="QAE365" s="37"/>
      <c r="QAF365" s="38"/>
      <c r="QAG365" s="38"/>
      <c r="QAH365" s="39"/>
      <c r="QAI365" s="34"/>
      <c r="QAJ365" s="34"/>
      <c r="QAK365" s="34"/>
      <c r="QAL365" s="35"/>
      <c r="QAM365" s="35"/>
      <c r="QAN365" s="35"/>
      <c r="QAO365" s="35"/>
      <c r="QAP365" s="35"/>
      <c r="QAQ365" s="34"/>
      <c r="QAR365" s="34"/>
      <c r="QAS365" s="36"/>
      <c r="QAT365" s="36"/>
      <c r="QAU365" s="37"/>
      <c r="QAV365" s="37"/>
      <c r="QAW365" s="38"/>
      <c r="QAX365" s="38"/>
      <c r="QAY365" s="39"/>
      <c r="QAZ365" s="34"/>
      <c r="QBA365" s="34"/>
      <c r="QBB365" s="34"/>
      <c r="QBC365" s="35"/>
      <c r="QBD365" s="35"/>
      <c r="QBE365" s="35"/>
      <c r="QBF365" s="35"/>
      <c r="QBG365" s="35"/>
      <c r="QBH365" s="34"/>
      <c r="QBI365" s="34"/>
      <c r="QBJ365" s="36"/>
      <c r="QBK365" s="36"/>
      <c r="QBL365" s="37"/>
      <c r="QBM365" s="37"/>
      <c r="QBN365" s="38"/>
      <c r="QBO365" s="38"/>
      <c r="QBP365" s="39"/>
      <c r="QBQ365" s="34"/>
      <c r="QBR365" s="34"/>
      <c r="QBS365" s="34"/>
      <c r="QBT365" s="35"/>
      <c r="QBU365" s="35"/>
      <c r="QBV365" s="35"/>
      <c r="QBW365" s="35"/>
      <c r="QBX365" s="35"/>
      <c r="QBY365" s="34"/>
      <c r="QBZ365" s="34"/>
      <c r="QCA365" s="36"/>
      <c r="QCB365" s="36"/>
      <c r="QCC365" s="37"/>
      <c r="QCD365" s="37"/>
      <c r="QCE365" s="38"/>
      <c r="QCF365" s="38"/>
      <c r="QCG365" s="39"/>
      <c r="QCH365" s="34"/>
      <c r="QCI365" s="34"/>
      <c r="QCJ365" s="34"/>
      <c r="QCK365" s="35"/>
      <c r="QCL365" s="35"/>
      <c r="QCM365" s="35"/>
      <c r="QCN365" s="35"/>
      <c r="QCO365" s="35"/>
      <c r="QCP365" s="34"/>
      <c r="QCQ365" s="34"/>
      <c r="QCR365" s="36"/>
      <c r="QCS365" s="36"/>
      <c r="QCT365" s="37"/>
      <c r="QCU365" s="37"/>
      <c r="QCV365" s="38"/>
      <c r="QCW365" s="38"/>
      <c r="QCX365" s="39"/>
      <c r="QCY365" s="34"/>
      <c r="QCZ365" s="34"/>
      <c r="QDA365" s="34"/>
      <c r="QDB365" s="35"/>
      <c r="QDC365" s="35"/>
      <c r="QDD365" s="35"/>
      <c r="QDE365" s="35"/>
      <c r="QDF365" s="35"/>
      <c r="QDG365" s="34"/>
      <c r="QDH365" s="34"/>
      <c r="QDI365" s="36"/>
      <c r="QDJ365" s="36"/>
      <c r="QDK365" s="37"/>
      <c r="QDL365" s="37"/>
      <c r="QDM365" s="38"/>
      <c r="QDN365" s="38"/>
      <c r="QDO365" s="39"/>
      <c r="QDP365" s="34"/>
      <c r="QDQ365" s="34"/>
      <c r="QDR365" s="34"/>
      <c r="QDS365" s="35"/>
      <c r="QDT365" s="35"/>
      <c r="QDU365" s="35"/>
      <c r="QDV365" s="35"/>
      <c r="QDW365" s="35"/>
      <c r="QDX365" s="34"/>
      <c r="QDY365" s="34"/>
      <c r="QDZ365" s="36"/>
      <c r="QEA365" s="36"/>
      <c r="QEB365" s="37"/>
      <c r="QEC365" s="37"/>
      <c r="QED365" s="38"/>
      <c r="QEE365" s="38"/>
      <c r="QEF365" s="39"/>
      <c r="QEG365" s="34"/>
      <c r="QEH365" s="34"/>
      <c r="QEI365" s="34"/>
      <c r="QEJ365" s="35"/>
      <c r="QEK365" s="35"/>
      <c r="QEL365" s="35"/>
      <c r="QEM365" s="35"/>
      <c r="QEN365" s="35"/>
      <c r="QEO365" s="34"/>
      <c r="QEP365" s="34"/>
      <c r="QEQ365" s="36"/>
      <c r="QER365" s="36"/>
      <c r="QES365" s="37"/>
      <c r="QET365" s="37"/>
      <c r="QEU365" s="38"/>
      <c r="QEV365" s="38"/>
      <c r="QEW365" s="39"/>
      <c r="QEX365" s="34"/>
      <c r="QEY365" s="34"/>
      <c r="QEZ365" s="34"/>
      <c r="QFA365" s="35"/>
      <c r="QFB365" s="35"/>
      <c r="QFC365" s="35"/>
      <c r="QFD365" s="35"/>
      <c r="QFE365" s="35"/>
      <c r="QFF365" s="34"/>
      <c r="QFG365" s="34"/>
      <c r="QFH365" s="36"/>
      <c r="QFI365" s="36"/>
      <c r="QFJ365" s="37"/>
      <c r="QFK365" s="37"/>
      <c r="QFL365" s="38"/>
      <c r="QFM365" s="38"/>
      <c r="QFN365" s="39"/>
      <c r="QFO365" s="34"/>
      <c r="QFP365" s="34"/>
      <c r="QFQ365" s="34"/>
      <c r="QFR365" s="35"/>
      <c r="QFS365" s="35"/>
      <c r="QFT365" s="35"/>
      <c r="QFU365" s="35"/>
      <c r="QFV365" s="35"/>
      <c r="QFW365" s="34"/>
      <c r="QFX365" s="34"/>
      <c r="QFY365" s="36"/>
      <c r="QFZ365" s="36"/>
      <c r="QGA365" s="37"/>
      <c r="QGB365" s="37"/>
      <c r="QGC365" s="38"/>
      <c r="QGD365" s="38"/>
      <c r="QGE365" s="39"/>
      <c r="QGF365" s="34"/>
      <c r="QGG365" s="34"/>
      <c r="QGH365" s="34"/>
      <c r="QGI365" s="35"/>
      <c r="QGJ365" s="35"/>
      <c r="QGK365" s="35"/>
      <c r="QGL365" s="35"/>
      <c r="QGM365" s="35"/>
      <c r="QGN365" s="34"/>
      <c r="QGO365" s="34"/>
      <c r="QGP365" s="36"/>
      <c r="QGQ365" s="36"/>
      <c r="QGR365" s="37"/>
      <c r="QGS365" s="37"/>
      <c r="QGT365" s="38"/>
      <c r="QGU365" s="38"/>
      <c r="QGV365" s="39"/>
      <c r="QGW365" s="34"/>
      <c r="QGX365" s="34"/>
      <c r="QGY365" s="34"/>
      <c r="QGZ365" s="35"/>
      <c r="QHA365" s="35"/>
      <c r="QHB365" s="35"/>
      <c r="QHC365" s="35"/>
      <c r="QHD365" s="35"/>
      <c r="QHE365" s="34"/>
      <c r="QHF365" s="34"/>
      <c r="QHG365" s="36"/>
      <c r="QHH365" s="36"/>
      <c r="QHI365" s="37"/>
      <c r="QHJ365" s="37"/>
      <c r="QHK365" s="38"/>
      <c r="QHL365" s="38"/>
      <c r="QHM365" s="39"/>
      <c r="QHN365" s="34"/>
      <c r="QHO365" s="34"/>
      <c r="QHP365" s="34"/>
      <c r="QHQ365" s="35"/>
      <c r="QHR365" s="35"/>
      <c r="QHS365" s="35"/>
      <c r="QHT365" s="35"/>
      <c r="QHU365" s="35"/>
      <c r="QHV365" s="34"/>
      <c r="QHW365" s="34"/>
      <c r="QHX365" s="36"/>
      <c r="QHY365" s="36"/>
      <c r="QHZ365" s="37"/>
      <c r="QIA365" s="37"/>
      <c r="QIB365" s="38"/>
      <c r="QIC365" s="38"/>
      <c r="QID365" s="39"/>
      <c r="QIE365" s="34"/>
      <c r="QIF365" s="34"/>
      <c r="QIG365" s="34"/>
      <c r="QIH365" s="35"/>
      <c r="QII365" s="35"/>
      <c r="QIJ365" s="35"/>
      <c r="QIK365" s="35"/>
      <c r="QIL365" s="35"/>
      <c r="QIM365" s="34"/>
      <c r="QIN365" s="34"/>
      <c r="QIO365" s="36"/>
      <c r="QIP365" s="36"/>
      <c r="QIQ365" s="37"/>
      <c r="QIR365" s="37"/>
      <c r="QIS365" s="38"/>
      <c r="QIT365" s="38"/>
      <c r="QIU365" s="39"/>
      <c r="QIV365" s="34"/>
      <c r="QIW365" s="34"/>
      <c r="QIX365" s="34"/>
      <c r="QIY365" s="35"/>
      <c r="QIZ365" s="35"/>
      <c r="QJA365" s="35"/>
      <c r="QJB365" s="35"/>
      <c r="QJC365" s="35"/>
      <c r="QJD365" s="34"/>
      <c r="QJE365" s="34"/>
      <c r="QJF365" s="36"/>
      <c r="QJG365" s="36"/>
      <c r="QJH365" s="37"/>
      <c r="QJI365" s="37"/>
      <c r="QJJ365" s="38"/>
      <c r="QJK365" s="38"/>
      <c r="QJL365" s="39"/>
      <c r="QJM365" s="34"/>
      <c r="QJN365" s="34"/>
      <c r="QJO365" s="34"/>
      <c r="QJP365" s="35"/>
      <c r="QJQ365" s="35"/>
      <c r="QJR365" s="35"/>
      <c r="QJS365" s="35"/>
      <c r="QJT365" s="35"/>
      <c r="QJU365" s="34"/>
      <c r="QJV365" s="34"/>
      <c r="QJW365" s="36"/>
      <c r="QJX365" s="36"/>
      <c r="QJY365" s="37"/>
      <c r="QJZ365" s="37"/>
      <c r="QKA365" s="38"/>
      <c r="QKB365" s="38"/>
      <c r="QKC365" s="39"/>
      <c r="QKD365" s="34"/>
      <c r="QKE365" s="34"/>
      <c r="QKF365" s="34"/>
      <c r="QKG365" s="35"/>
      <c r="QKH365" s="35"/>
      <c r="QKI365" s="35"/>
      <c r="QKJ365" s="35"/>
      <c r="QKK365" s="35"/>
      <c r="QKL365" s="34"/>
      <c r="QKM365" s="34"/>
      <c r="QKN365" s="36"/>
      <c r="QKO365" s="36"/>
      <c r="QKP365" s="37"/>
      <c r="QKQ365" s="37"/>
      <c r="QKR365" s="38"/>
      <c r="QKS365" s="38"/>
      <c r="QKT365" s="39"/>
      <c r="QKU365" s="34"/>
      <c r="QKV365" s="34"/>
      <c r="QKW365" s="34"/>
      <c r="QKX365" s="35"/>
      <c r="QKY365" s="35"/>
      <c r="QKZ365" s="35"/>
      <c r="QLA365" s="35"/>
      <c r="QLB365" s="35"/>
      <c r="QLC365" s="34"/>
      <c r="QLD365" s="34"/>
      <c r="QLE365" s="36"/>
      <c r="QLF365" s="36"/>
      <c r="QLG365" s="37"/>
      <c r="QLH365" s="37"/>
      <c r="QLI365" s="38"/>
      <c r="QLJ365" s="38"/>
      <c r="QLK365" s="39"/>
      <c r="QLL365" s="34"/>
      <c r="QLM365" s="34"/>
      <c r="QLN365" s="34"/>
      <c r="QLO365" s="35"/>
      <c r="QLP365" s="35"/>
      <c r="QLQ365" s="35"/>
      <c r="QLR365" s="35"/>
      <c r="QLS365" s="35"/>
      <c r="QLT365" s="34"/>
      <c r="QLU365" s="34"/>
      <c r="QLV365" s="36"/>
      <c r="QLW365" s="36"/>
      <c r="QLX365" s="37"/>
      <c r="QLY365" s="37"/>
      <c r="QLZ365" s="38"/>
      <c r="QMA365" s="38"/>
      <c r="QMB365" s="39"/>
      <c r="QMC365" s="34"/>
      <c r="QMD365" s="34"/>
      <c r="QME365" s="34"/>
      <c r="QMF365" s="35"/>
      <c r="QMG365" s="35"/>
      <c r="QMH365" s="35"/>
      <c r="QMI365" s="35"/>
      <c r="QMJ365" s="35"/>
      <c r="QMK365" s="34"/>
      <c r="QML365" s="34"/>
      <c r="QMM365" s="36"/>
      <c r="QMN365" s="36"/>
      <c r="QMO365" s="37"/>
      <c r="QMP365" s="37"/>
      <c r="QMQ365" s="38"/>
      <c r="QMR365" s="38"/>
      <c r="QMS365" s="39"/>
      <c r="QMT365" s="34"/>
      <c r="QMU365" s="34"/>
      <c r="QMV365" s="34"/>
      <c r="QMW365" s="35"/>
      <c r="QMX365" s="35"/>
      <c r="QMY365" s="35"/>
      <c r="QMZ365" s="35"/>
      <c r="QNA365" s="35"/>
      <c r="QNB365" s="34"/>
      <c r="QNC365" s="34"/>
      <c r="QND365" s="36"/>
      <c r="QNE365" s="36"/>
      <c r="QNF365" s="37"/>
      <c r="QNG365" s="37"/>
      <c r="QNH365" s="38"/>
      <c r="QNI365" s="38"/>
      <c r="QNJ365" s="39"/>
      <c r="QNK365" s="34"/>
      <c r="QNL365" s="34"/>
      <c r="QNM365" s="34"/>
      <c r="QNN365" s="35"/>
      <c r="QNO365" s="35"/>
      <c r="QNP365" s="35"/>
      <c r="QNQ365" s="35"/>
      <c r="QNR365" s="35"/>
      <c r="QNS365" s="34"/>
      <c r="QNT365" s="34"/>
      <c r="QNU365" s="36"/>
      <c r="QNV365" s="36"/>
      <c r="QNW365" s="37"/>
      <c r="QNX365" s="37"/>
      <c r="QNY365" s="38"/>
      <c r="QNZ365" s="38"/>
      <c r="QOA365" s="39"/>
      <c r="QOB365" s="34"/>
      <c r="QOC365" s="34"/>
      <c r="QOD365" s="34"/>
      <c r="QOE365" s="35"/>
      <c r="QOF365" s="35"/>
      <c r="QOG365" s="35"/>
      <c r="QOH365" s="35"/>
      <c r="QOI365" s="35"/>
      <c r="QOJ365" s="34"/>
      <c r="QOK365" s="34"/>
      <c r="QOL365" s="36"/>
      <c r="QOM365" s="36"/>
      <c r="QON365" s="37"/>
      <c r="QOO365" s="37"/>
      <c r="QOP365" s="38"/>
      <c r="QOQ365" s="38"/>
      <c r="QOR365" s="39"/>
      <c r="QOS365" s="34"/>
      <c r="QOT365" s="34"/>
      <c r="QOU365" s="34"/>
      <c r="QOV365" s="35"/>
      <c r="QOW365" s="35"/>
      <c r="QOX365" s="35"/>
      <c r="QOY365" s="35"/>
      <c r="QOZ365" s="35"/>
      <c r="QPA365" s="34"/>
      <c r="QPB365" s="34"/>
      <c r="QPC365" s="36"/>
      <c r="QPD365" s="36"/>
      <c r="QPE365" s="37"/>
      <c r="QPF365" s="37"/>
      <c r="QPG365" s="38"/>
      <c r="QPH365" s="38"/>
      <c r="QPI365" s="39"/>
      <c r="QPJ365" s="34"/>
      <c r="QPK365" s="34"/>
      <c r="QPL365" s="34"/>
      <c r="QPM365" s="35"/>
      <c r="QPN365" s="35"/>
      <c r="QPO365" s="35"/>
      <c r="QPP365" s="35"/>
      <c r="QPQ365" s="35"/>
      <c r="QPR365" s="34"/>
      <c r="QPS365" s="34"/>
      <c r="QPT365" s="36"/>
      <c r="QPU365" s="36"/>
      <c r="QPV365" s="37"/>
      <c r="QPW365" s="37"/>
      <c r="QPX365" s="38"/>
      <c r="QPY365" s="38"/>
      <c r="QPZ365" s="39"/>
      <c r="QQA365" s="34"/>
      <c r="QQB365" s="34"/>
      <c r="QQC365" s="34"/>
      <c r="QQD365" s="35"/>
      <c r="QQE365" s="35"/>
      <c r="QQF365" s="35"/>
      <c r="QQG365" s="35"/>
      <c r="QQH365" s="35"/>
      <c r="QQI365" s="34"/>
      <c r="QQJ365" s="34"/>
      <c r="QQK365" s="36"/>
      <c r="QQL365" s="36"/>
      <c r="QQM365" s="37"/>
      <c r="QQN365" s="37"/>
      <c r="QQO365" s="38"/>
      <c r="QQP365" s="38"/>
      <c r="QQQ365" s="39"/>
      <c r="QQR365" s="34"/>
      <c r="QQS365" s="34"/>
      <c r="QQT365" s="34"/>
      <c r="QQU365" s="35"/>
      <c r="QQV365" s="35"/>
      <c r="QQW365" s="35"/>
      <c r="QQX365" s="35"/>
      <c r="QQY365" s="35"/>
      <c r="QQZ365" s="34"/>
      <c r="QRA365" s="34"/>
      <c r="QRB365" s="36"/>
      <c r="QRC365" s="36"/>
      <c r="QRD365" s="37"/>
      <c r="QRE365" s="37"/>
      <c r="QRF365" s="38"/>
      <c r="QRG365" s="38"/>
      <c r="QRH365" s="39"/>
      <c r="QRI365" s="34"/>
      <c r="QRJ365" s="34"/>
      <c r="QRK365" s="34"/>
      <c r="QRL365" s="35"/>
      <c r="QRM365" s="35"/>
      <c r="QRN365" s="35"/>
      <c r="QRO365" s="35"/>
      <c r="QRP365" s="35"/>
      <c r="QRQ365" s="34"/>
      <c r="QRR365" s="34"/>
      <c r="QRS365" s="36"/>
      <c r="QRT365" s="36"/>
      <c r="QRU365" s="37"/>
      <c r="QRV365" s="37"/>
      <c r="QRW365" s="38"/>
      <c r="QRX365" s="38"/>
      <c r="QRY365" s="39"/>
      <c r="QRZ365" s="34"/>
      <c r="QSA365" s="34"/>
      <c r="QSB365" s="34"/>
      <c r="QSC365" s="35"/>
      <c r="QSD365" s="35"/>
      <c r="QSE365" s="35"/>
      <c r="QSF365" s="35"/>
      <c r="QSG365" s="35"/>
      <c r="QSH365" s="34"/>
      <c r="QSI365" s="34"/>
      <c r="QSJ365" s="36"/>
      <c r="QSK365" s="36"/>
      <c r="QSL365" s="37"/>
      <c r="QSM365" s="37"/>
      <c r="QSN365" s="38"/>
      <c r="QSO365" s="38"/>
      <c r="QSP365" s="39"/>
      <c r="QSQ365" s="34"/>
      <c r="QSR365" s="34"/>
      <c r="QSS365" s="34"/>
      <c r="QST365" s="35"/>
      <c r="QSU365" s="35"/>
      <c r="QSV365" s="35"/>
      <c r="QSW365" s="35"/>
      <c r="QSX365" s="35"/>
      <c r="QSY365" s="34"/>
      <c r="QSZ365" s="34"/>
      <c r="QTA365" s="36"/>
      <c r="QTB365" s="36"/>
      <c r="QTC365" s="37"/>
      <c r="QTD365" s="37"/>
      <c r="QTE365" s="38"/>
      <c r="QTF365" s="38"/>
      <c r="QTG365" s="39"/>
      <c r="QTH365" s="34"/>
      <c r="QTI365" s="34"/>
      <c r="QTJ365" s="34"/>
      <c r="QTK365" s="35"/>
      <c r="QTL365" s="35"/>
      <c r="QTM365" s="35"/>
      <c r="QTN365" s="35"/>
      <c r="QTO365" s="35"/>
      <c r="QTP365" s="34"/>
      <c r="QTQ365" s="34"/>
      <c r="QTR365" s="36"/>
      <c r="QTS365" s="36"/>
      <c r="QTT365" s="37"/>
      <c r="QTU365" s="37"/>
      <c r="QTV365" s="38"/>
      <c r="QTW365" s="38"/>
      <c r="QTX365" s="39"/>
      <c r="QTY365" s="34"/>
      <c r="QTZ365" s="34"/>
      <c r="QUA365" s="34"/>
      <c r="QUB365" s="35"/>
      <c r="QUC365" s="35"/>
      <c r="QUD365" s="35"/>
      <c r="QUE365" s="35"/>
      <c r="QUF365" s="35"/>
      <c r="QUG365" s="34"/>
      <c r="QUH365" s="34"/>
      <c r="QUI365" s="36"/>
      <c r="QUJ365" s="36"/>
      <c r="QUK365" s="37"/>
      <c r="QUL365" s="37"/>
      <c r="QUM365" s="38"/>
      <c r="QUN365" s="38"/>
      <c r="QUO365" s="39"/>
      <c r="QUP365" s="34"/>
      <c r="QUQ365" s="34"/>
      <c r="QUR365" s="34"/>
      <c r="QUS365" s="35"/>
      <c r="QUT365" s="35"/>
      <c r="QUU365" s="35"/>
      <c r="QUV365" s="35"/>
      <c r="QUW365" s="35"/>
      <c r="QUX365" s="34"/>
      <c r="QUY365" s="34"/>
      <c r="QUZ365" s="36"/>
      <c r="QVA365" s="36"/>
      <c r="QVB365" s="37"/>
      <c r="QVC365" s="37"/>
      <c r="QVD365" s="38"/>
      <c r="QVE365" s="38"/>
      <c r="QVF365" s="39"/>
      <c r="QVG365" s="34"/>
      <c r="QVH365" s="34"/>
      <c r="QVI365" s="34"/>
      <c r="QVJ365" s="35"/>
      <c r="QVK365" s="35"/>
      <c r="QVL365" s="35"/>
      <c r="QVM365" s="35"/>
      <c r="QVN365" s="35"/>
      <c r="QVO365" s="34"/>
      <c r="QVP365" s="34"/>
      <c r="QVQ365" s="36"/>
      <c r="QVR365" s="36"/>
      <c r="QVS365" s="37"/>
      <c r="QVT365" s="37"/>
      <c r="QVU365" s="38"/>
      <c r="QVV365" s="38"/>
      <c r="QVW365" s="39"/>
      <c r="QVX365" s="34"/>
      <c r="QVY365" s="34"/>
      <c r="QVZ365" s="34"/>
      <c r="QWA365" s="35"/>
      <c r="QWB365" s="35"/>
      <c r="QWC365" s="35"/>
      <c r="QWD365" s="35"/>
      <c r="QWE365" s="35"/>
      <c r="QWF365" s="34"/>
      <c r="QWG365" s="34"/>
      <c r="QWH365" s="36"/>
      <c r="QWI365" s="36"/>
      <c r="QWJ365" s="37"/>
      <c r="QWK365" s="37"/>
      <c r="QWL365" s="38"/>
      <c r="QWM365" s="38"/>
      <c r="QWN365" s="39"/>
      <c r="QWO365" s="34"/>
      <c r="QWP365" s="34"/>
      <c r="QWQ365" s="34"/>
      <c r="QWR365" s="35"/>
      <c r="QWS365" s="35"/>
      <c r="QWT365" s="35"/>
      <c r="QWU365" s="35"/>
      <c r="QWV365" s="35"/>
      <c r="QWW365" s="34"/>
      <c r="QWX365" s="34"/>
      <c r="QWY365" s="36"/>
      <c r="QWZ365" s="36"/>
      <c r="QXA365" s="37"/>
      <c r="QXB365" s="37"/>
      <c r="QXC365" s="38"/>
      <c r="QXD365" s="38"/>
      <c r="QXE365" s="39"/>
      <c r="QXF365" s="34"/>
      <c r="QXG365" s="34"/>
      <c r="QXH365" s="34"/>
      <c r="QXI365" s="35"/>
      <c r="QXJ365" s="35"/>
      <c r="QXK365" s="35"/>
      <c r="QXL365" s="35"/>
      <c r="QXM365" s="35"/>
      <c r="QXN365" s="34"/>
      <c r="QXO365" s="34"/>
      <c r="QXP365" s="36"/>
      <c r="QXQ365" s="36"/>
      <c r="QXR365" s="37"/>
      <c r="QXS365" s="37"/>
      <c r="QXT365" s="38"/>
      <c r="QXU365" s="38"/>
      <c r="QXV365" s="39"/>
      <c r="QXW365" s="34"/>
      <c r="QXX365" s="34"/>
      <c r="QXY365" s="34"/>
      <c r="QXZ365" s="35"/>
      <c r="QYA365" s="35"/>
      <c r="QYB365" s="35"/>
      <c r="QYC365" s="35"/>
      <c r="QYD365" s="35"/>
      <c r="QYE365" s="34"/>
      <c r="QYF365" s="34"/>
      <c r="QYG365" s="36"/>
      <c r="QYH365" s="36"/>
      <c r="QYI365" s="37"/>
      <c r="QYJ365" s="37"/>
      <c r="QYK365" s="38"/>
      <c r="QYL365" s="38"/>
      <c r="QYM365" s="39"/>
      <c r="QYN365" s="34"/>
      <c r="QYO365" s="34"/>
      <c r="QYP365" s="34"/>
      <c r="QYQ365" s="35"/>
      <c r="QYR365" s="35"/>
      <c r="QYS365" s="35"/>
      <c r="QYT365" s="35"/>
      <c r="QYU365" s="35"/>
      <c r="QYV365" s="34"/>
      <c r="QYW365" s="34"/>
      <c r="QYX365" s="36"/>
      <c r="QYY365" s="36"/>
      <c r="QYZ365" s="37"/>
      <c r="QZA365" s="37"/>
      <c r="QZB365" s="38"/>
      <c r="QZC365" s="38"/>
      <c r="QZD365" s="39"/>
      <c r="QZE365" s="34"/>
      <c r="QZF365" s="34"/>
      <c r="QZG365" s="34"/>
      <c r="QZH365" s="35"/>
      <c r="QZI365" s="35"/>
      <c r="QZJ365" s="35"/>
      <c r="QZK365" s="35"/>
      <c r="QZL365" s="35"/>
      <c r="QZM365" s="34"/>
      <c r="QZN365" s="34"/>
      <c r="QZO365" s="36"/>
      <c r="QZP365" s="36"/>
      <c r="QZQ365" s="37"/>
      <c r="QZR365" s="37"/>
      <c r="QZS365" s="38"/>
      <c r="QZT365" s="38"/>
      <c r="QZU365" s="39"/>
      <c r="QZV365" s="34"/>
      <c r="QZW365" s="34"/>
      <c r="QZX365" s="34"/>
      <c r="QZY365" s="35"/>
      <c r="QZZ365" s="35"/>
      <c r="RAA365" s="35"/>
      <c r="RAB365" s="35"/>
      <c r="RAC365" s="35"/>
      <c r="RAD365" s="34"/>
      <c r="RAE365" s="34"/>
      <c r="RAF365" s="36"/>
      <c r="RAG365" s="36"/>
      <c r="RAH365" s="37"/>
      <c r="RAI365" s="37"/>
      <c r="RAJ365" s="38"/>
      <c r="RAK365" s="38"/>
      <c r="RAL365" s="39"/>
      <c r="RAM365" s="34"/>
      <c r="RAN365" s="34"/>
      <c r="RAO365" s="34"/>
      <c r="RAP365" s="35"/>
      <c r="RAQ365" s="35"/>
      <c r="RAR365" s="35"/>
      <c r="RAS365" s="35"/>
      <c r="RAT365" s="35"/>
      <c r="RAU365" s="34"/>
      <c r="RAV365" s="34"/>
      <c r="RAW365" s="36"/>
      <c r="RAX365" s="36"/>
      <c r="RAY365" s="37"/>
      <c r="RAZ365" s="37"/>
      <c r="RBA365" s="38"/>
      <c r="RBB365" s="38"/>
      <c r="RBC365" s="39"/>
      <c r="RBD365" s="34"/>
      <c r="RBE365" s="34"/>
      <c r="RBF365" s="34"/>
      <c r="RBG365" s="35"/>
      <c r="RBH365" s="35"/>
      <c r="RBI365" s="35"/>
      <c r="RBJ365" s="35"/>
      <c r="RBK365" s="35"/>
      <c r="RBL365" s="34"/>
      <c r="RBM365" s="34"/>
      <c r="RBN365" s="36"/>
      <c r="RBO365" s="36"/>
      <c r="RBP365" s="37"/>
      <c r="RBQ365" s="37"/>
      <c r="RBR365" s="38"/>
      <c r="RBS365" s="38"/>
      <c r="RBT365" s="39"/>
      <c r="RBU365" s="34"/>
      <c r="RBV365" s="34"/>
      <c r="RBW365" s="34"/>
      <c r="RBX365" s="35"/>
      <c r="RBY365" s="35"/>
      <c r="RBZ365" s="35"/>
      <c r="RCA365" s="35"/>
      <c r="RCB365" s="35"/>
      <c r="RCC365" s="34"/>
      <c r="RCD365" s="34"/>
      <c r="RCE365" s="36"/>
      <c r="RCF365" s="36"/>
      <c r="RCG365" s="37"/>
      <c r="RCH365" s="37"/>
      <c r="RCI365" s="38"/>
      <c r="RCJ365" s="38"/>
      <c r="RCK365" s="39"/>
      <c r="RCL365" s="34"/>
      <c r="RCM365" s="34"/>
      <c r="RCN365" s="34"/>
      <c r="RCO365" s="35"/>
      <c r="RCP365" s="35"/>
      <c r="RCQ365" s="35"/>
      <c r="RCR365" s="35"/>
      <c r="RCS365" s="35"/>
      <c r="RCT365" s="34"/>
      <c r="RCU365" s="34"/>
      <c r="RCV365" s="36"/>
      <c r="RCW365" s="36"/>
      <c r="RCX365" s="37"/>
      <c r="RCY365" s="37"/>
      <c r="RCZ365" s="38"/>
      <c r="RDA365" s="38"/>
      <c r="RDB365" s="39"/>
      <c r="RDC365" s="34"/>
      <c r="RDD365" s="34"/>
      <c r="RDE365" s="34"/>
      <c r="RDF365" s="35"/>
      <c r="RDG365" s="35"/>
      <c r="RDH365" s="35"/>
      <c r="RDI365" s="35"/>
      <c r="RDJ365" s="35"/>
      <c r="RDK365" s="34"/>
      <c r="RDL365" s="34"/>
      <c r="RDM365" s="36"/>
      <c r="RDN365" s="36"/>
      <c r="RDO365" s="37"/>
      <c r="RDP365" s="37"/>
      <c r="RDQ365" s="38"/>
      <c r="RDR365" s="38"/>
      <c r="RDS365" s="39"/>
      <c r="RDT365" s="34"/>
      <c r="RDU365" s="34"/>
      <c r="RDV365" s="34"/>
      <c r="RDW365" s="35"/>
      <c r="RDX365" s="35"/>
      <c r="RDY365" s="35"/>
      <c r="RDZ365" s="35"/>
      <c r="REA365" s="35"/>
      <c r="REB365" s="34"/>
      <c r="REC365" s="34"/>
      <c r="RED365" s="36"/>
      <c r="REE365" s="36"/>
      <c r="REF365" s="37"/>
      <c r="REG365" s="37"/>
      <c r="REH365" s="38"/>
      <c r="REI365" s="38"/>
      <c r="REJ365" s="39"/>
      <c r="REK365" s="34"/>
      <c r="REL365" s="34"/>
      <c r="REM365" s="34"/>
      <c r="REN365" s="35"/>
      <c r="REO365" s="35"/>
      <c r="REP365" s="35"/>
      <c r="REQ365" s="35"/>
      <c r="RER365" s="35"/>
      <c r="RES365" s="34"/>
      <c r="RET365" s="34"/>
      <c r="REU365" s="36"/>
      <c r="REV365" s="36"/>
      <c r="REW365" s="37"/>
      <c r="REX365" s="37"/>
      <c r="REY365" s="38"/>
      <c r="REZ365" s="38"/>
      <c r="RFA365" s="39"/>
      <c r="RFB365" s="34"/>
      <c r="RFC365" s="34"/>
      <c r="RFD365" s="34"/>
      <c r="RFE365" s="35"/>
      <c r="RFF365" s="35"/>
      <c r="RFG365" s="35"/>
      <c r="RFH365" s="35"/>
      <c r="RFI365" s="35"/>
      <c r="RFJ365" s="34"/>
      <c r="RFK365" s="34"/>
      <c r="RFL365" s="36"/>
      <c r="RFM365" s="36"/>
      <c r="RFN365" s="37"/>
      <c r="RFO365" s="37"/>
      <c r="RFP365" s="38"/>
      <c r="RFQ365" s="38"/>
      <c r="RFR365" s="39"/>
      <c r="RFS365" s="34"/>
      <c r="RFT365" s="34"/>
      <c r="RFU365" s="34"/>
      <c r="RFV365" s="35"/>
      <c r="RFW365" s="35"/>
      <c r="RFX365" s="35"/>
      <c r="RFY365" s="35"/>
      <c r="RFZ365" s="35"/>
      <c r="RGA365" s="34"/>
      <c r="RGB365" s="34"/>
      <c r="RGC365" s="36"/>
      <c r="RGD365" s="36"/>
      <c r="RGE365" s="37"/>
      <c r="RGF365" s="37"/>
      <c r="RGG365" s="38"/>
      <c r="RGH365" s="38"/>
      <c r="RGI365" s="39"/>
      <c r="RGJ365" s="34"/>
      <c r="RGK365" s="34"/>
      <c r="RGL365" s="34"/>
      <c r="RGM365" s="35"/>
      <c r="RGN365" s="35"/>
      <c r="RGO365" s="35"/>
      <c r="RGP365" s="35"/>
      <c r="RGQ365" s="35"/>
      <c r="RGR365" s="34"/>
      <c r="RGS365" s="34"/>
      <c r="RGT365" s="36"/>
      <c r="RGU365" s="36"/>
      <c r="RGV365" s="37"/>
      <c r="RGW365" s="37"/>
      <c r="RGX365" s="38"/>
      <c r="RGY365" s="38"/>
      <c r="RGZ365" s="39"/>
      <c r="RHA365" s="34"/>
      <c r="RHB365" s="34"/>
      <c r="RHC365" s="34"/>
      <c r="RHD365" s="35"/>
      <c r="RHE365" s="35"/>
      <c r="RHF365" s="35"/>
      <c r="RHG365" s="35"/>
      <c r="RHH365" s="35"/>
      <c r="RHI365" s="34"/>
      <c r="RHJ365" s="34"/>
      <c r="RHK365" s="36"/>
      <c r="RHL365" s="36"/>
      <c r="RHM365" s="37"/>
      <c r="RHN365" s="37"/>
      <c r="RHO365" s="38"/>
      <c r="RHP365" s="38"/>
      <c r="RHQ365" s="39"/>
      <c r="RHR365" s="34"/>
      <c r="RHS365" s="34"/>
      <c r="RHT365" s="34"/>
      <c r="RHU365" s="35"/>
      <c r="RHV365" s="35"/>
      <c r="RHW365" s="35"/>
      <c r="RHX365" s="35"/>
      <c r="RHY365" s="35"/>
      <c r="RHZ365" s="34"/>
      <c r="RIA365" s="34"/>
      <c r="RIB365" s="36"/>
      <c r="RIC365" s="36"/>
      <c r="RID365" s="37"/>
      <c r="RIE365" s="37"/>
      <c r="RIF365" s="38"/>
      <c r="RIG365" s="38"/>
      <c r="RIH365" s="39"/>
      <c r="RII365" s="34"/>
      <c r="RIJ365" s="34"/>
      <c r="RIK365" s="34"/>
      <c r="RIL365" s="35"/>
      <c r="RIM365" s="35"/>
      <c r="RIN365" s="35"/>
      <c r="RIO365" s="35"/>
      <c r="RIP365" s="35"/>
      <c r="RIQ365" s="34"/>
      <c r="RIR365" s="34"/>
      <c r="RIS365" s="36"/>
      <c r="RIT365" s="36"/>
      <c r="RIU365" s="37"/>
      <c r="RIV365" s="37"/>
      <c r="RIW365" s="38"/>
      <c r="RIX365" s="38"/>
      <c r="RIY365" s="39"/>
      <c r="RIZ365" s="34"/>
      <c r="RJA365" s="34"/>
      <c r="RJB365" s="34"/>
      <c r="RJC365" s="35"/>
      <c r="RJD365" s="35"/>
      <c r="RJE365" s="35"/>
      <c r="RJF365" s="35"/>
      <c r="RJG365" s="35"/>
      <c r="RJH365" s="34"/>
      <c r="RJI365" s="34"/>
      <c r="RJJ365" s="36"/>
      <c r="RJK365" s="36"/>
      <c r="RJL365" s="37"/>
      <c r="RJM365" s="37"/>
      <c r="RJN365" s="38"/>
      <c r="RJO365" s="38"/>
      <c r="RJP365" s="39"/>
      <c r="RJQ365" s="34"/>
      <c r="RJR365" s="34"/>
      <c r="RJS365" s="34"/>
      <c r="RJT365" s="35"/>
      <c r="RJU365" s="35"/>
      <c r="RJV365" s="35"/>
      <c r="RJW365" s="35"/>
      <c r="RJX365" s="35"/>
      <c r="RJY365" s="34"/>
      <c r="RJZ365" s="34"/>
      <c r="RKA365" s="36"/>
      <c r="RKB365" s="36"/>
      <c r="RKC365" s="37"/>
      <c r="RKD365" s="37"/>
      <c r="RKE365" s="38"/>
      <c r="RKF365" s="38"/>
      <c r="RKG365" s="39"/>
      <c r="RKH365" s="34"/>
      <c r="RKI365" s="34"/>
      <c r="RKJ365" s="34"/>
      <c r="RKK365" s="35"/>
      <c r="RKL365" s="35"/>
      <c r="RKM365" s="35"/>
      <c r="RKN365" s="35"/>
      <c r="RKO365" s="35"/>
      <c r="RKP365" s="34"/>
      <c r="RKQ365" s="34"/>
      <c r="RKR365" s="36"/>
      <c r="RKS365" s="36"/>
      <c r="RKT365" s="37"/>
      <c r="RKU365" s="37"/>
      <c r="RKV365" s="38"/>
      <c r="RKW365" s="38"/>
      <c r="RKX365" s="39"/>
      <c r="RKY365" s="34"/>
      <c r="RKZ365" s="34"/>
      <c r="RLA365" s="34"/>
      <c r="RLB365" s="35"/>
      <c r="RLC365" s="35"/>
      <c r="RLD365" s="35"/>
      <c r="RLE365" s="35"/>
      <c r="RLF365" s="35"/>
      <c r="RLG365" s="34"/>
      <c r="RLH365" s="34"/>
      <c r="RLI365" s="36"/>
      <c r="RLJ365" s="36"/>
      <c r="RLK365" s="37"/>
      <c r="RLL365" s="37"/>
      <c r="RLM365" s="38"/>
      <c r="RLN365" s="38"/>
      <c r="RLO365" s="39"/>
      <c r="RLP365" s="34"/>
      <c r="RLQ365" s="34"/>
      <c r="RLR365" s="34"/>
      <c r="RLS365" s="35"/>
      <c r="RLT365" s="35"/>
      <c r="RLU365" s="35"/>
      <c r="RLV365" s="35"/>
      <c r="RLW365" s="35"/>
      <c r="RLX365" s="34"/>
      <c r="RLY365" s="34"/>
      <c r="RLZ365" s="36"/>
      <c r="RMA365" s="36"/>
      <c r="RMB365" s="37"/>
      <c r="RMC365" s="37"/>
      <c r="RMD365" s="38"/>
      <c r="RME365" s="38"/>
      <c r="RMF365" s="39"/>
      <c r="RMG365" s="34"/>
      <c r="RMH365" s="34"/>
      <c r="RMI365" s="34"/>
      <c r="RMJ365" s="35"/>
      <c r="RMK365" s="35"/>
      <c r="RML365" s="35"/>
      <c r="RMM365" s="35"/>
      <c r="RMN365" s="35"/>
      <c r="RMO365" s="34"/>
      <c r="RMP365" s="34"/>
      <c r="RMQ365" s="36"/>
      <c r="RMR365" s="36"/>
      <c r="RMS365" s="37"/>
      <c r="RMT365" s="37"/>
      <c r="RMU365" s="38"/>
      <c r="RMV365" s="38"/>
      <c r="RMW365" s="39"/>
      <c r="RMX365" s="34"/>
      <c r="RMY365" s="34"/>
      <c r="RMZ365" s="34"/>
      <c r="RNA365" s="35"/>
      <c r="RNB365" s="35"/>
      <c r="RNC365" s="35"/>
      <c r="RND365" s="35"/>
      <c r="RNE365" s="35"/>
      <c r="RNF365" s="34"/>
      <c r="RNG365" s="34"/>
      <c r="RNH365" s="36"/>
      <c r="RNI365" s="36"/>
      <c r="RNJ365" s="37"/>
      <c r="RNK365" s="37"/>
      <c r="RNL365" s="38"/>
      <c r="RNM365" s="38"/>
      <c r="RNN365" s="39"/>
      <c r="RNO365" s="34"/>
      <c r="RNP365" s="34"/>
      <c r="RNQ365" s="34"/>
      <c r="RNR365" s="35"/>
      <c r="RNS365" s="35"/>
      <c r="RNT365" s="35"/>
      <c r="RNU365" s="35"/>
      <c r="RNV365" s="35"/>
      <c r="RNW365" s="34"/>
      <c r="RNX365" s="34"/>
      <c r="RNY365" s="36"/>
      <c r="RNZ365" s="36"/>
      <c r="ROA365" s="37"/>
      <c r="ROB365" s="37"/>
      <c r="ROC365" s="38"/>
      <c r="ROD365" s="38"/>
      <c r="ROE365" s="39"/>
      <c r="ROF365" s="34"/>
      <c r="ROG365" s="34"/>
      <c r="ROH365" s="34"/>
      <c r="ROI365" s="35"/>
      <c r="ROJ365" s="35"/>
      <c r="ROK365" s="35"/>
      <c r="ROL365" s="35"/>
      <c r="ROM365" s="35"/>
      <c r="RON365" s="34"/>
      <c r="ROO365" s="34"/>
      <c r="ROP365" s="36"/>
      <c r="ROQ365" s="36"/>
      <c r="ROR365" s="37"/>
      <c r="ROS365" s="37"/>
      <c r="ROT365" s="38"/>
      <c r="ROU365" s="38"/>
      <c r="ROV365" s="39"/>
      <c r="ROW365" s="34"/>
      <c r="ROX365" s="34"/>
      <c r="ROY365" s="34"/>
      <c r="ROZ365" s="35"/>
      <c r="RPA365" s="35"/>
      <c r="RPB365" s="35"/>
      <c r="RPC365" s="35"/>
      <c r="RPD365" s="35"/>
      <c r="RPE365" s="34"/>
      <c r="RPF365" s="34"/>
      <c r="RPG365" s="36"/>
      <c r="RPH365" s="36"/>
      <c r="RPI365" s="37"/>
      <c r="RPJ365" s="37"/>
      <c r="RPK365" s="38"/>
      <c r="RPL365" s="38"/>
      <c r="RPM365" s="39"/>
      <c r="RPN365" s="34"/>
      <c r="RPO365" s="34"/>
      <c r="RPP365" s="34"/>
      <c r="RPQ365" s="35"/>
      <c r="RPR365" s="35"/>
      <c r="RPS365" s="35"/>
      <c r="RPT365" s="35"/>
      <c r="RPU365" s="35"/>
      <c r="RPV365" s="34"/>
      <c r="RPW365" s="34"/>
      <c r="RPX365" s="36"/>
      <c r="RPY365" s="36"/>
      <c r="RPZ365" s="37"/>
      <c r="RQA365" s="37"/>
      <c r="RQB365" s="38"/>
      <c r="RQC365" s="38"/>
      <c r="RQD365" s="39"/>
      <c r="RQE365" s="34"/>
      <c r="RQF365" s="34"/>
      <c r="RQG365" s="34"/>
      <c r="RQH365" s="35"/>
      <c r="RQI365" s="35"/>
      <c r="RQJ365" s="35"/>
      <c r="RQK365" s="35"/>
      <c r="RQL365" s="35"/>
      <c r="RQM365" s="34"/>
      <c r="RQN365" s="34"/>
      <c r="RQO365" s="36"/>
      <c r="RQP365" s="36"/>
      <c r="RQQ365" s="37"/>
      <c r="RQR365" s="37"/>
      <c r="RQS365" s="38"/>
      <c r="RQT365" s="38"/>
      <c r="RQU365" s="39"/>
      <c r="RQV365" s="34"/>
      <c r="RQW365" s="34"/>
      <c r="RQX365" s="34"/>
      <c r="RQY365" s="35"/>
      <c r="RQZ365" s="35"/>
      <c r="RRA365" s="35"/>
      <c r="RRB365" s="35"/>
      <c r="RRC365" s="35"/>
      <c r="RRD365" s="34"/>
      <c r="RRE365" s="34"/>
      <c r="RRF365" s="36"/>
      <c r="RRG365" s="36"/>
      <c r="RRH365" s="37"/>
      <c r="RRI365" s="37"/>
      <c r="RRJ365" s="38"/>
      <c r="RRK365" s="38"/>
      <c r="RRL365" s="39"/>
      <c r="RRM365" s="34"/>
      <c r="RRN365" s="34"/>
      <c r="RRO365" s="34"/>
      <c r="RRP365" s="35"/>
      <c r="RRQ365" s="35"/>
      <c r="RRR365" s="35"/>
      <c r="RRS365" s="35"/>
      <c r="RRT365" s="35"/>
      <c r="RRU365" s="34"/>
      <c r="RRV365" s="34"/>
      <c r="RRW365" s="36"/>
      <c r="RRX365" s="36"/>
      <c r="RRY365" s="37"/>
      <c r="RRZ365" s="37"/>
      <c r="RSA365" s="38"/>
      <c r="RSB365" s="38"/>
      <c r="RSC365" s="39"/>
      <c r="RSD365" s="34"/>
      <c r="RSE365" s="34"/>
      <c r="RSF365" s="34"/>
      <c r="RSG365" s="35"/>
      <c r="RSH365" s="35"/>
      <c r="RSI365" s="35"/>
      <c r="RSJ365" s="35"/>
      <c r="RSK365" s="35"/>
      <c r="RSL365" s="34"/>
      <c r="RSM365" s="34"/>
      <c r="RSN365" s="36"/>
      <c r="RSO365" s="36"/>
      <c r="RSP365" s="37"/>
      <c r="RSQ365" s="37"/>
      <c r="RSR365" s="38"/>
      <c r="RSS365" s="38"/>
      <c r="RST365" s="39"/>
      <c r="RSU365" s="34"/>
      <c r="RSV365" s="34"/>
      <c r="RSW365" s="34"/>
      <c r="RSX365" s="35"/>
      <c r="RSY365" s="35"/>
      <c r="RSZ365" s="35"/>
      <c r="RTA365" s="35"/>
      <c r="RTB365" s="35"/>
      <c r="RTC365" s="34"/>
      <c r="RTD365" s="34"/>
      <c r="RTE365" s="36"/>
      <c r="RTF365" s="36"/>
      <c r="RTG365" s="37"/>
      <c r="RTH365" s="37"/>
      <c r="RTI365" s="38"/>
      <c r="RTJ365" s="38"/>
      <c r="RTK365" s="39"/>
      <c r="RTL365" s="34"/>
      <c r="RTM365" s="34"/>
      <c r="RTN365" s="34"/>
      <c r="RTO365" s="35"/>
      <c r="RTP365" s="35"/>
      <c r="RTQ365" s="35"/>
      <c r="RTR365" s="35"/>
      <c r="RTS365" s="35"/>
      <c r="RTT365" s="34"/>
      <c r="RTU365" s="34"/>
      <c r="RTV365" s="36"/>
      <c r="RTW365" s="36"/>
      <c r="RTX365" s="37"/>
      <c r="RTY365" s="37"/>
      <c r="RTZ365" s="38"/>
      <c r="RUA365" s="38"/>
      <c r="RUB365" s="39"/>
      <c r="RUC365" s="34"/>
      <c r="RUD365" s="34"/>
      <c r="RUE365" s="34"/>
      <c r="RUF365" s="35"/>
      <c r="RUG365" s="35"/>
      <c r="RUH365" s="35"/>
      <c r="RUI365" s="35"/>
      <c r="RUJ365" s="35"/>
      <c r="RUK365" s="34"/>
      <c r="RUL365" s="34"/>
      <c r="RUM365" s="36"/>
      <c r="RUN365" s="36"/>
      <c r="RUO365" s="37"/>
      <c r="RUP365" s="37"/>
      <c r="RUQ365" s="38"/>
      <c r="RUR365" s="38"/>
      <c r="RUS365" s="39"/>
      <c r="RUT365" s="34"/>
      <c r="RUU365" s="34"/>
      <c r="RUV365" s="34"/>
      <c r="RUW365" s="35"/>
      <c r="RUX365" s="35"/>
      <c r="RUY365" s="35"/>
      <c r="RUZ365" s="35"/>
      <c r="RVA365" s="35"/>
      <c r="RVB365" s="34"/>
      <c r="RVC365" s="34"/>
      <c r="RVD365" s="36"/>
      <c r="RVE365" s="36"/>
      <c r="RVF365" s="37"/>
      <c r="RVG365" s="37"/>
      <c r="RVH365" s="38"/>
      <c r="RVI365" s="38"/>
      <c r="RVJ365" s="39"/>
      <c r="RVK365" s="34"/>
      <c r="RVL365" s="34"/>
      <c r="RVM365" s="34"/>
      <c r="RVN365" s="35"/>
      <c r="RVO365" s="35"/>
      <c r="RVP365" s="35"/>
      <c r="RVQ365" s="35"/>
      <c r="RVR365" s="35"/>
      <c r="RVS365" s="34"/>
      <c r="RVT365" s="34"/>
      <c r="RVU365" s="36"/>
      <c r="RVV365" s="36"/>
      <c r="RVW365" s="37"/>
      <c r="RVX365" s="37"/>
      <c r="RVY365" s="38"/>
      <c r="RVZ365" s="38"/>
      <c r="RWA365" s="39"/>
      <c r="RWB365" s="34"/>
      <c r="RWC365" s="34"/>
      <c r="RWD365" s="34"/>
      <c r="RWE365" s="35"/>
      <c r="RWF365" s="35"/>
      <c r="RWG365" s="35"/>
      <c r="RWH365" s="35"/>
      <c r="RWI365" s="35"/>
      <c r="RWJ365" s="34"/>
      <c r="RWK365" s="34"/>
      <c r="RWL365" s="36"/>
      <c r="RWM365" s="36"/>
      <c r="RWN365" s="37"/>
      <c r="RWO365" s="37"/>
      <c r="RWP365" s="38"/>
      <c r="RWQ365" s="38"/>
      <c r="RWR365" s="39"/>
      <c r="RWS365" s="34"/>
      <c r="RWT365" s="34"/>
      <c r="RWU365" s="34"/>
      <c r="RWV365" s="35"/>
      <c r="RWW365" s="35"/>
      <c r="RWX365" s="35"/>
      <c r="RWY365" s="35"/>
      <c r="RWZ365" s="35"/>
      <c r="RXA365" s="34"/>
      <c r="RXB365" s="34"/>
      <c r="RXC365" s="36"/>
      <c r="RXD365" s="36"/>
      <c r="RXE365" s="37"/>
      <c r="RXF365" s="37"/>
      <c r="RXG365" s="38"/>
      <c r="RXH365" s="38"/>
      <c r="RXI365" s="39"/>
      <c r="RXJ365" s="34"/>
      <c r="RXK365" s="34"/>
      <c r="RXL365" s="34"/>
      <c r="RXM365" s="35"/>
      <c r="RXN365" s="35"/>
      <c r="RXO365" s="35"/>
      <c r="RXP365" s="35"/>
      <c r="RXQ365" s="35"/>
      <c r="RXR365" s="34"/>
      <c r="RXS365" s="34"/>
      <c r="RXT365" s="36"/>
      <c r="RXU365" s="36"/>
      <c r="RXV365" s="37"/>
      <c r="RXW365" s="37"/>
      <c r="RXX365" s="38"/>
      <c r="RXY365" s="38"/>
      <c r="RXZ365" s="39"/>
      <c r="RYA365" s="34"/>
      <c r="RYB365" s="34"/>
      <c r="RYC365" s="34"/>
      <c r="RYD365" s="35"/>
      <c r="RYE365" s="35"/>
      <c r="RYF365" s="35"/>
      <c r="RYG365" s="35"/>
      <c r="RYH365" s="35"/>
      <c r="RYI365" s="34"/>
      <c r="RYJ365" s="34"/>
      <c r="RYK365" s="36"/>
      <c r="RYL365" s="36"/>
      <c r="RYM365" s="37"/>
      <c r="RYN365" s="37"/>
      <c r="RYO365" s="38"/>
      <c r="RYP365" s="38"/>
      <c r="RYQ365" s="39"/>
      <c r="RYR365" s="34"/>
      <c r="RYS365" s="34"/>
      <c r="RYT365" s="34"/>
      <c r="RYU365" s="35"/>
      <c r="RYV365" s="35"/>
      <c r="RYW365" s="35"/>
      <c r="RYX365" s="35"/>
      <c r="RYY365" s="35"/>
      <c r="RYZ365" s="34"/>
      <c r="RZA365" s="34"/>
      <c r="RZB365" s="36"/>
      <c r="RZC365" s="36"/>
      <c r="RZD365" s="37"/>
      <c r="RZE365" s="37"/>
      <c r="RZF365" s="38"/>
      <c r="RZG365" s="38"/>
      <c r="RZH365" s="39"/>
      <c r="RZI365" s="34"/>
      <c r="RZJ365" s="34"/>
      <c r="RZK365" s="34"/>
      <c r="RZL365" s="35"/>
      <c r="RZM365" s="35"/>
      <c r="RZN365" s="35"/>
      <c r="RZO365" s="35"/>
      <c r="RZP365" s="35"/>
      <c r="RZQ365" s="34"/>
      <c r="RZR365" s="34"/>
      <c r="RZS365" s="36"/>
      <c r="RZT365" s="36"/>
      <c r="RZU365" s="37"/>
      <c r="RZV365" s="37"/>
      <c r="RZW365" s="38"/>
      <c r="RZX365" s="38"/>
      <c r="RZY365" s="39"/>
      <c r="RZZ365" s="34"/>
      <c r="SAA365" s="34"/>
      <c r="SAB365" s="34"/>
      <c r="SAC365" s="35"/>
      <c r="SAD365" s="35"/>
      <c r="SAE365" s="35"/>
      <c r="SAF365" s="35"/>
      <c r="SAG365" s="35"/>
      <c r="SAH365" s="34"/>
      <c r="SAI365" s="34"/>
      <c r="SAJ365" s="36"/>
      <c r="SAK365" s="36"/>
      <c r="SAL365" s="37"/>
      <c r="SAM365" s="37"/>
      <c r="SAN365" s="38"/>
      <c r="SAO365" s="38"/>
      <c r="SAP365" s="39"/>
      <c r="SAQ365" s="34"/>
      <c r="SAR365" s="34"/>
      <c r="SAS365" s="34"/>
      <c r="SAT365" s="35"/>
      <c r="SAU365" s="35"/>
      <c r="SAV365" s="35"/>
      <c r="SAW365" s="35"/>
      <c r="SAX365" s="35"/>
      <c r="SAY365" s="34"/>
      <c r="SAZ365" s="34"/>
      <c r="SBA365" s="36"/>
      <c r="SBB365" s="36"/>
      <c r="SBC365" s="37"/>
      <c r="SBD365" s="37"/>
      <c r="SBE365" s="38"/>
      <c r="SBF365" s="38"/>
      <c r="SBG365" s="39"/>
      <c r="SBH365" s="34"/>
      <c r="SBI365" s="34"/>
      <c r="SBJ365" s="34"/>
      <c r="SBK365" s="35"/>
      <c r="SBL365" s="35"/>
      <c r="SBM365" s="35"/>
      <c r="SBN365" s="35"/>
      <c r="SBO365" s="35"/>
      <c r="SBP365" s="34"/>
      <c r="SBQ365" s="34"/>
      <c r="SBR365" s="36"/>
      <c r="SBS365" s="36"/>
      <c r="SBT365" s="37"/>
      <c r="SBU365" s="37"/>
      <c r="SBV365" s="38"/>
      <c r="SBW365" s="38"/>
      <c r="SBX365" s="39"/>
      <c r="SBY365" s="34"/>
      <c r="SBZ365" s="34"/>
      <c r="SCA365" s="34"/>
      <c r="SCB365" s="35"/>
      <c r="SCC365" s="35"/>
      <c r="SCD365" s="35"/>
      <c r="SCE365" s="35"/>
      <c r="SCF365" s="35"/>
      <c r="SCG365" s="34"/>
      <c r="SCH365" s="34"/>
      <c r="SCI365" s="36"/>
      <c r="SCJ365" s="36"/>
      <c r="SCK365" s="37"/>
      <c r="SCL365" s="37"/>
      <c r="SCM365" s="38"/>
      <c r="SCN365" s="38"/>
      <c r="SCO365" s="39"/>
      <c r="SCP365" s="34"/>
      <c r="SCQ365" s="34"/>
      <c r="SCR365" s="34"/>
      <c r="SCS365" s="35"/>
      <c r="SCT365" s="35"/>
      <c r="SCU365" s="35"/>
      <c r="SCV365" s="35"/>
      <c r="SCW365" s="35"/>
      <c r="SCX365" s="34"/>
      <c r="SCY365" s="34"/>
      <c r="SCZ365" s="36"/>
      <c r="SDA365" s="36"/>
      <c r="SDB365" s="37"/>
      <c r="SDC365" s="37"/>
      <c r="SDD365" s="38"/>
      <c r="SDE365" s="38"/>
      <c r="SDF365" s="39"/>
      <c r="SDG365" s="34"/>
      <c r="SDH365" s="34"/>
      <c r="SDI365" s="34"/>
      <c r="SDJ365" s="35"/>
      <c r="SDK365" s="35"/>
      <c r="SDL365" s="35"/>
      <c r="SDM365" s="35"/>
      <c r="SDN365" s="35"/>
      <c r="SDO365" s="34"/>
      <c r="SDP365" s="34"/>
      <c r="SDQ365" s="36"/>
      <c r="SDR365" s="36"/>
      <c r="SDS365" s="37"/>
      <c r="SDT365" s="37"/>
      <c r="SDU365" s="38"/>
      <c r="SDV365" s="38"/>
      <c r="SDW365" s="39"/>
      <c r="SDX365" s="34"/>
      <c r="SDY365" s="34"/>
      <c r="SDZ365" s="34"/>
      <c r="SEA365" s="35"/>
      <c r="SEB365" s="35"/>
      <c r="SEC365" s="35"/>
      <c r="SED365" s="35"/>
      <c r="SEE365" s="35"/>
      <c r="SEF365" s="34"/>
      <c r="SEG365" s="34"/>
      <c r="SEH365" s="36"/>
      <c r="SEI365" s="36"/>
      <c r="SEJ365" s="37"/>
      <c r="SEK365" s="37"/>
      <c r="SEL365" s="38"/>
      <c r="SEM365" s="38"/>
      <c r="SEN365" s="39"/>
      <c r="SEO365" s="34"/>
      <c r="SEP365" s="34"/>
      <c r="SEQ365" s="34"/>
      <c r="SER365" s="35"/>
      <c r="SES365" s="35"/>
      <c r="SET365" s="35"/>
      <c r="SEU365" s="35"/>
      <c r="SEV365" s="35"/>
      <c r="SEW365" s="34"/>
      <c r="SEX365" s="34"/>
      <c r="SEY365" s="36"/>
      <c r="SEZ365" s="36"/>
      <c r="SFA365" s="37"/>
      <c r="SFB365" s="37"/>
      <c r="SFC365" s="38"/>
      <c r="SFD365" s="38"/>
      <c r="SFE365" s="39"/>
      <c r="SFF365" s="34"/>
      <c r="SFG365" s="34"/>
      <c r="SFH365" s="34"/>
      <c r="SFI365" s="35"/>
      <c r="SFJ365" s="35"/>
      <c r="SFK365" s="35"/>
      <c r="SFL365" s="35"/>
      <c r="SFM365" s="35"/>
      <c r="SFN365" s="34"/>
      <c r="SFO365" s="34"/>
      <c r="SFP365" s="36"/>
      <c r="SFQ365" s="36"/>
      <c r="SFR365" s="37"/>
      <c r="SFS365" s="37"/>
      <c r="SFT365" s="38"/>
      <c r="SFU365" s="38"/>
      <c r="SFV365" s="39"/>
      <c r="SFW365" s="34"/>
      <c r="SFX365" s="34"/>
      <c r="SFY365" s="34"/>
      <c r="SFZ365" s="35"/>
      <c r="SGA365" s="35"/>
      <c r="SGB365" s="35"/>
      <c r="SGC365" s="35"/>
      <c r="SGD365" s="35"/>
      <c r="SGE365" s="34"/>
      <c r="SGF365" s="34"/>
      <c r="SGG365" s="36"/>
      <c r="SGH365" s="36"/>
      <c r="SGI365" s="37"/>
      <c r="SGJ365" s="37"/>
      <c r="SGK365" s="38"/>
      <c r="SGL365" s="38"/>
      <c r="SGM365" s="39"/>
      <c r="SGN365" s="34"/>
      <c r="SGO365" s="34"/>
      <c r="SGP365" s="34"/>
      <c r="SGQ365" s="35"/>
      <c r="SGR365" s="35"/>
      <c r="SGS365" s="35"/>
      <c r="SGT365" s="35"/>
      <c r="SGU365" s="35"/>
      <c r="SGV365" s="34"/>
      <c r="SGW365" s="34"/>
      <c r="SGX365" s="36"/>
      <c r="SGY365" s="36"/>
      <c r="SGZ365" s="37"/>
      <c r="SHA365" s="37"/>
      <c r="SHB365" s="38"/>
      <c r="SHC365" s="38"/>
      <c r="SHD365" s="39"/>
      <c r="SHE365" s="34"/>
      <c r="SHF365" s="34"/>
      <c r="SHG365" s="34"/>
      <c r="SHH365" s="35"/>
      <c r="SHI365" s="35"/>
      <c r="SHJ365" s="35"/>
      <c r="SHK365" s="35"/>
      <c r="SHL365" s="35"/>
      <c r="SHM365" s="34"/>
      <c r="SHN365" s="34"/>
      <c r="SHO365" s="36"/>
      <c r="SHP365" s="36"/>
      <c r="SHQ365" s="37"/>
      <c r="SHR365" s="37"/>
      <c r="SHS365" s="38"/>
      <c r="SHT365" s="38"/>
      <c r="SHU365" s="39"/>
      <c r="SHV365" s="34"/>
      <c r="SHW365" s="34"/>
      <c r="SHX365" s="34"/>
      <c r="SHY365" s="35"/>
      <c r="SHZ365" s="35"/>
      <c r="SIA365" s="35"/>
      <c r="SIB365" s="35"/>
      <c r="SIC365" s="35"/>
      <c r="SID365" s="34"/>
      <c r="SIE365" s="34"/>
      <c r="SIF365" s="36"/>
      <c r="SIG365" s="36"/>
      <c r="SIH365" s="37"/>
      <c r="SII365" s="37"/>
      <c r="SIJ365" s="38"/>
      <c r="SIK365" s="38"/>
      <c r="SIL365" s="39"/>
      <c r="SIM365" s="34"/>
      <c r="SIN365" s="34"/>
      <c r="SIO365" s="34"/>
      <c r="SIP365" s="35"/>
      <c r="SIQ365" s="35"/>
      <c r="SIR365" s="35"/>
      <c r="SIS365" s="35"/>
      <c r="SIT365" s="35"/>
      <c r="SIU365" s="34"/>
      <c r="SIV365" s="34"/>
      <c r="SIW365" s="36"/>
      <c r="SIX365" s="36"/>
      <c r="SIY365" s="37"/>
      <c r="SIZ365" s="37"/>
      <c r="SJA365" s="38"/>
      <c r="SJB365" s="38"/>
      <c r="SJC365" s="39"/>
      <c r="SJD365" s="34"/>
      <c r="SJE365" s="34"/>
      <c r="SJF365" s="34"/>
      <c r="SJG365" s="35"/>
      <c r="SJH365" s="35"/>
      <c r="SJI365" s="35"/>
      <c r="SJJ365" s="35"/>
      <c r="SJK365" s="35"/>
      <c r="SJL365" s="34"/>
      <c r="SJM365" s="34"/>
      <c r="SJN365" s="36"/>
      <c r="SJO365" s="36"/>
      <c r="SJP365" s="37"/>
      <c r="SJQ365" s="37"/>
      <c r="SJR365" s="38"/>
      <c r="SJS365" s="38"/>
      <c r="SJT365" s="39"/>
      <c r="SJU365" s="34"/>
      <c r="SJV365" s="34"/>
      <c r="SJW365" s="34"/>
      <c r="SJX365" s="35"/>
      <c r="SJY365" s="35"/>
      <c r="SJZ365" s="35"/>
      <c r="SKA365" s="35"/>
      <c r="SKB365" s="35"/>
      <c r="SKC365" s="34"/>
      <c r="SKD365" s="34"/>
      <c r="SKE365" s="36"/>
      <c r="SKF365" s="36"/>
      <c r="SKG365" s="37"/>
      <c r="SKH365" s="37"/>
      <c r="SKI365" s="38"/>
      <c r="SKJ365" s="38"/>
      <c r="SKK365" s="39"/>
      <c r="SKL365" s="34"/>
      <c r="SKM365" s="34"/>
      <c r="SKN365" s="34"/>
      <c r="SKO365" s="35"/>
      <c r="SKP365" s="35"/>
      <c r="SKQ365" s="35"/>
      <c r="SKR365" s="35"/>
      <c r="SKS365" s="35"/>
      <c r="SKT365" s="34"/>
      <c r="SKU365" s="34"/>
      <c r="SKV365" s="36"/>
      <c r="SKW365" s="36"/>
      <c r="SKX365" s="37"/>
      <c r="SKY365" s="37"/>
      <c r="SKZ365" s="38"/>
      <c r="SLA365" s="38"/>
      <c r="SLB365" s="39"/>
      <c r="SLC365" s="34"/>
      <c r="SLD365" s="34"/>
      <c r="SLE365" s="34"/>
      <c r="SLF365" s="35"/>
      <c r="SLG365" s="35"/>
      <c r="SLH365" s="35"/>
      <c r="SLI365" s="35"/>
      <c r="SLJ365" s="35"/>
      <c r="SLK365" s="34"/>
      <c r="SLL365" s="34"/>
      <c r="SLM365" s="36"/>
      <c r="SLN365" s="36"/>
      <c r="SLO365" s="37"/>
      <c r="SLP365" s="37"/>
      <c r="SLQ365" s="38"/>
      <c r="SLR365" s="38"/>
      <c r="SLS365" s="39"/>
      <c r="SLT365" s="34"/>
      <c r="SLU365" s="34"/>
      <c r="SLV365" s="34"/>
      <c r="SLW365" s="35"/>
      <c r="SLX365" s="35"/>
      <c r="SLY365" s="35"/>
      <c r="SLZ365" s="35"/>
      <c r="SMA365" s="35"/>
      <c r="SMB365" s="34"/>
      <c r="SMC365" s="34"/>
      <c r="SMD365" s="36"/>
      <c r="SME365" s="36"/>
      <c r="SMF365" s="37"/>
      <c r="SMG365" s="37"/>
      <c r="SMH365" s="38"/>
      <c r="SMI365" s="38"/>
      <c r="SMJ365" s="39"/>
      <c r="SMK365" s="34"/>
      <c r="SML365" s="34"/>
      <c r="SMM365" s="34"/>
      <c r="SMN365" s="35"/>
      <c r="SMO365" s="35"/>
      <c r="SMP365" s="35"/>
      <c r="SMQ365" s="35"/>
      <c r="SMR365" s="35"/>
      <c r="SMS365" s="34"/>
      <c r="SMT365" s="34"/>
      <c r="SMU365" s="36"/>
      <c r="SMV365" s="36"/>
      <c r="SMW365" s="37"/>
      <c r="SMX365" s="37"/>
      <c r="SMY365" s="38"/>
      <c r="SMZ365" s="38"/>
      <c r="SNA365" s="39"/>
      <c r="SNB365" s="34"/>
      <c r="SNC365" s="34"/>
      <c r="SND365" s="34"/>
      <c r="SNE365" s="35"/>
      <c r="SNF365" s="35"/>
      <c r="SNG365" s="35"/>
      <c r="SNH365" s="35"/>
      <c r="SNI365" s="35"/>
      <c r="SNJ365" s="34"/>
      <c r="SNK365" s="34"/>
      <c r="SNL365" s="36"/>
      <c r="SNM365" s="36"/>
      <c r="SNN365" s="37"/>
      <c r="SNO365" s="37"/>
      <c r="SNP365" s="38"/>
      <c r="SNQ365" s="38"/>
      <c r="SNR365" s="39"/>
      <c r="SNS365" s="34"/>
      <c r="SNT365" s="34"/>
      <c r="SNU365" s="34"/>
      <c r="SNV365" s="35"/>
      <c r="SNW365" s="35"/>
      <c r="SNX365" s="35"/>
      <c r="SNY365" s="35"/>
      <c r="SNZ365" s="35"/>
      <c r="SOA365" s="34"/>
      <c r="SOB365" s="34"/>
      <c r="SOC365" s="36"/>
      <c r="SOD365" s="36"/>
      <c r="SOE365" s="37"/>
      <c r="SOF365" s="37"/>
      <c r="SOG365" s="38"/>
      <c r="SOH365" s="38"/>
      <c r="SOI365" s="39"/>
      <c r="SOJ365" s="34"/>
      <c r="SOK365" s="34"/>
      <c r="SOL365" s="34"/>
      <c r="SOM365" s="35"/>
      <c r="SON365" s="35"/>
      <c r="SOO365" s="35"/>
      <c r="SOP365" s="35"/>
      <c r="SOQ365" s="35"/>
      <c r="SOR365" s="34"/>
      <c r="SOS365" s="34"/>
      <c r="SOT365" s="36"/>
      <c r="SOU365" s="36"/>
      <c r="SOV365" s="37"/>
      <c r="SOW365" s="37"/>
      <c r="SOX365" s="38"/>
      <c r="SOY365" s="38"/>
      <c r="SOZ365" s="39"/>
      <c r="SPA365" s="34"/>
      <c r="SPB365" s="34"/>
      <c r="SPC365" s="34"/>
      <c r="SPD365" s="35"/>
      <c r="SPE365" s="35"/>
      <c r="SPF365" s="35"/>
      <c r="SPG365" s="35"/>
      <c r="SPH365" s="35"/>
      <c r="SPI365" s="34"/>
      <c r="SPJ365" s="34"/>
      <c r="SPK365" s="36"/>
      <c r="SPL365" s="36"/>
      <c r="SPM365" s="37"/>
      <c r="SPN365" s="37"/>
      <c r="SPO365" s="38"/>
      <c r="SPP365" s="38"/>
      <c r="SPQ365" s="39"/>
      <c r="SPR365" s="34"/>
      <c r="SPS365" s="34"/>
      <c r="SPT365" s="34"/>
      <c r="SPU365" s="35"/>
      <c r="SPV365" s="35"/>
      <c r="SPW365" s="35"/>
      <c r="SPX365" s="35"/>
      <c r="SPY365" s="35"/>
      <c r="SPZ365" s="34"/>
      <c r="SQA365" s="34"/>
      <c r="SQB365" s="36"/>
      <c r="SQC365" s="36"/>
      <c r="SQD365" s="37"/>
      <c r="SQE365" s="37"/>
      <c r="SQF365" s="38"/>
      <c r="SQG365" s="38"/>
      <c r="SQH365" s="39"/>
      <c r="SQI365" s="34"/>
      <c r="SQJ365" s="34"/>
      <c r="SQK365" s="34"/>
      <c r="SQL365" s="35"/>
      <c r="SQM365" s="35"/>
      <c r="SQN365" s="35"/>
      <c r="SQO365" s="35"/>
      <c r="SQP365" s="35"/>
      <c r="SQQ365" s="34"/>
      <c r="SQR365" s="34"/>
      <c r="SQS365" s="36"/>
      <c r="SQT365" s="36"/>
      <c r="SQU365" s="37"/>
      <c r="SQV365" s="37"/>
      <c r="SQW365" s="38"/>
      <c r="SQX365" s="38"/>
      <c r="SQY365" s="39"/>
      <c r="SQZ365" s="34"/>
      <c r="SRA365" s="34"/>
      <c r="SRB365" s="34"/>
      <c r="SRC365" s="35"/>
      <c r="SRD365" s="35"/>
      <c r="SRE365" s="35"/>
      <c r="SRF365" s="35"/>
      <c r="SRG365" s="35"/>
      <c r="SRH365" s="34"/>
      <c r="SRI365" s="34"/>
      <c r="SRJ365" s="36"/>
      <c r="SRK365" s="36"/>
      <c r="SRL365" s="37"/>
      <c r="SRM365" s="37"/>
      <c r="SRN365" s="38"/>
      <c r="SRO365" s="38"/>
      <c r="SRP365" s="39"/>
      <c r="SRQ365" s="34"/>
      <c r="SRR365" s="34"/>
      <c r="SRS365" s="34"/>
      <c r="SRT365" s="35"/>
      <c r="SRU365" s="35"/>
      <c r="SRV365" s="35"/>
      <c r="SRW365" s="35"/>
      <c r="SRX365" s="35"/>
      <c r="SRY365" s="34"/>
      <c r="SRZ365" s="34"/>
      <c r="SSA365" s="36"/>
      <c r="SSB365" s="36"/>
      <c r="SSC365" s="37"/>
      <c r="SSD365" s="37"/>
      <c r="SSE365" s="38"/>
      <c r="SSF365" s="38"/>
      <c r="SSG365" s="39"/>
      <c r="SSH365" s="34"/>
      <c r="SSI365" s="34"/>
      <c r="SSJ365" s="34"/>
      <c r="SSK365" s="35"/>
      <c r="SSL365" s="35"/>
      <c r="SSM365" s="35"/>
      <c r="SSN365" s="35"/>
      <c r="SSO365" s="35"/>
      <c r="SSP365" s="34"/>
      <c r="SSQ365" s="34"/>
      <c r="SSR365" s="36"/>
      <c r="SSS365" s="36"/>
      <c r="SST365" s="37"/>
      <c r="SSU365" s="37"/>
      <c r="SSV365" s="38"/>
      <c r="SSW365" s="38"/>
      <c r="SSX365" s="39"/>
      <c r="SSY365" s="34"/>
      <c r="SSZ365" s="34"/>
      <c r="STA365" s="34"/>
      <c r="STB365" s="35"/>
      <c r="STC365" s="35"/>
      <c r="STD365" s="35"/>
      <c r="STE365" s="35"/>
      <c r="STF365" s="35"/>
      <c r="STG365" s="34"/>
      <c r="STH365" s="34"/>
      <c r="STI365" s="36"/>
      <c r="STJ365" s="36"/>
      <c r="STK365" s="37"/>
      <c r="STL365" s="37"/>
      <c r="STM365" s="38"/>
      <c r="STN365" s="38"/>
      <c r="STO365" s="39"/>
      <c r="STP365" s="34"/>
      <c r="STQ365" s="34"/>
      <c r="STR365" s="34"/>
      <c r="STS365" s="35"/>
      <c r="STT365" s="35"/>
      <c r="STU365" s="35"/>
      <c r="STV365" s="35"/>
      <c r="STW365" s="35"/>
      <c r="STX365" s="34"/>
      <c r="STY365" s="34"/>
      <c r="STZ365" s="36"/>
      <c r="SUA365" s="36"/>
      <c r="SUB365" s="37"/>
      <c r="SUC365" s="37"/>
      <c r="SUD365" s="38"/>
      <c r="SUE365" s="38"/>
      <c r="SUF365" s="39"/>
      <c r="SUG365" s="34"/>
      <c r="SUH365" s="34"/>
      <c r="SUI365" s="34"/>
      <c r="SUJ365" s="35"/>
      <c r="SUK365" s="35"/>
      <c r="SUL365" s="35"/>
      <c r="SUM365" s="35"/>
      <c r="SUN365" s="35"/>
      <c r="SUO365" s="34"/>
      <c r="SUP365" s="34"/>
      <c r="SUQ365" s="36"/>
      <c r="SUR365" s="36"/>
      <c r="SUS365" s="37"/>
      <c r="SUT365" s="37"/>
      <c r="SUU365" s="38"/>
      <c r="SUV365" s="38"/>
      <c r="SUW365" s="39"/>
      <c r="SUX365" s="34"/>
      <c r="SUY365" s="34"/>
      <c r="SUZ365" s="34"/>
      <c r="SVA365" s="35"/>
      <c r="SVB365" s="35"/>
      <c r="SVC365" s="35"/>
      <c r="SVD365" s="35"/>
      <c r="SVE365" s="35"/>
      <c r="SVF365" s="34"/>
      <c r="SVG365" s="34"/>
      <c r="SVH365" s="36"/>
      <c r="SVI365" s="36"/>
      <c r="SVJ365" s="37"/>
      <c r="SVK365" s="37"/>
      <c r="SVL365" s="38"/>
      <c r="SVM365" s="38"/>
      <c r="SVN365" s="39"/>
      <c r="SVO365" s="34"/>
      <c r="SVP365" s="34"/>
      <c r="SVQ365" s="34"/>
      <c r="SVR365" s="35"/>
      <c r="SVS365" s="35"/>
      <c r="SVT365" s="35"/>
      <c r="SVU365" s="35"/>
      <c r="SVV365" s="35"/>
      <c r="SVW365" s="34"/>
      <c r="SVX365" s="34"/>
      <c r="SVY365" s="36"/>
      <c r="SVZ365" s="36"/>
      <c r="SWA365" s="37"/>
      <c r="SWB365" s="37"/>
      <c r="SWC365" s="38"/>
      <c r="SWD365" s="38"/>
      <c r="SWE365" s="39"/>
      <c r="SWF365" s="34"/>
      <c r="SWG365" s="34"/>
      <c r="SWH365" s="34"/>
      <c r="SWI365" s="35"/>
      <c r="SWJ365" s="35"/>
      <c r="SWK365" s="35"/>
      <c r="SWL365" s="35"/>
      <c r="SWM365" s="35"/>
      <c r="SWN365" s="34"/>
      <c r="SWO365" s="34"/>
      <c r="SWP365" s="36"/>
      <c r="SWQ365" s="36"/>
      <c r="SWR365" s="37"/>
      <c r="SWS365" s="37"/>
      <c r="SWT365" s="38"/>
      <c r="SWU365" s="38"/>
      <c r="SWV365" s="39"/>
      <c r="SWW365" s="34"/>
      <c r="SWX365" s="34"/>
      <c r="SWY365" s="34"/>
      <c r="SWZ365" s="35"/>
      <c r="SXA365" s="35"/>
      <c r="SXB365" s="35"/>
      <c r="SXC365" s="35"/>
      <c r="SXD365" s="35"/>
      <c r="SXE365" s="34"/>
      <c r="SXF365" s="34"/>
      <c r="SXG365" s="36"/>
      <c r="SXH365" s="36"/>
      <c r="SXI365" s="37"/>
      <c r="SXJ365" s="37"/>
      <c r="SXK365" s="38"/>
      <c r="SXL365" s="38"/>
      <c r="SXM365" s="39"/>
      <c r="SXN365" s="34"/>
      <c r="SXO365" s="34"/>
      <c r="SXP365" s="34"/>
      <c r="SXQ365" s="35"/>
      <c r="SXR365" s="35"/>
      <c r="SXS365" s="35"/>
      <c r="SXT365" s="35"/>
      <c r="SXU365" s="35"/>
      <c r="SXV365" s="34"/>
      <c r="SXW365" s="34"/>
      <c r="SXX365" s="36"/>
      <c r="SXY365" s="36"/>
      <c r="SXZ365" s="37"/>
      <c r="SYA365" s="37"/>
      <c r="SYB365" s="38"/>
      <c r="SYC365" s="38"/>
      <c r="SYD365" s="39"/>
      <c r="SYE365" s="34"/>
      <c r="SYF365" s="34"/>
      <c r="SYG365" s="34"/>
      <c r="SYH365" s="35"/>
      <c r="SYI365" s="35"/>
      <c r="SYJ365" s="35"/>
      <c r="SYK365" s="35"/>
      <c r="SYL365" s="35"/>
      <c r="SYM365" s="34"/>
      <c r="SYN365" s="34"/>
      <c r="SYO365" s="36"/>
      <c r="SYP365" s="36"/>
      <c r="SYQ365" s="37"/>
      <c r="SYR365" s="37"/>
      <c r="SYS365" s="38"/>
      <c r="SYT365" s="38"/>
      <c r="SYU365" s="39"/>
      <c r="SYV365" s="34"/>
      <c r="SYW365" s="34"/>
      <c r="SYX365" s="34"/>
      <c r="SYY365" s="35"/>
      <c r="SYZ365" s="35"/>
      <c r="SZA365" s="35"/>
      <c r="SZB365" s="35"/>
      <c r="SZC365" s="35"/>
      <c r="SZD365" s="34"/>
      <c r="SZE365" s="34"/>
      <c r="SZF365" s="36"/>
      <c r="SZG365" s="36"/>
      <c r="SZH365" s="37"/>
      <c r="SZI365" s="37"/>
      <c r="SZJ365" s="38"/>
      <c r="SZK365" s="38"/>
      <c r="SZL365" s="39"/>
      <c r="SZM365" s="34"/>
      <c r="SZN365" s="34"/>
      <c r="SZO365" s="34"/>
      <c r="SZP365" s="35"/>
      <c r="SZQ365" s="35"/>
      <c r="SZR365" s="35"/>
      <c r="SZS365" s="35"/>
      <c r="SZT365" s="35"/>
      <c r="SZU365" s="34"/>
      <c r="SZV365" s="34"/>
      <c r="SZW365" s="36"/>
      <c r="SZX365" s="36"/>
      <c r="SZY365" s="37"/>
      <c r="SZZ365" s="37"/>
      <c r="TAA365" s="38"/>
      <c r="TAB365" s="38"/>
      <c r="TAC365" s="39"/>
      <c r="TAD365" s="34"/>
      <c r="TAE365" s="34"/>
      <c r="TAF365" s="34"/>
      <c r="TAG365" s="35"/>
      <c r="TAH365" s="35"/>
      <c r="TAI365" s="35"/>
      <c r="TAJ365" s="35"/>
      <c r="TAK365" s="35"/>
      <c r="TAL365" s="34"/>
      <c r="TAM365" s="34"/>
      <c r="TAN365" s="36"/>
      <c r="TAO365" s="36"/>
      <c r="TAP365" s="37"/>
      <c r="TAQ365" s="37"/>
      <c r="TAR365" s="38"/>
      <c r="TAS365" s="38"/>
      <c r="TAT365" s="39"/>
      <c r="TAU365" s="34"/>
      <c r="TAV365" s="34"/>
      <c r="TAW365" s="34"/>
      <c r="TAX365" s="35"/>
      <c r="TAY365" s="35"/>
      <c r="TAZ365" s="35"/>
      <c r="TBA365" s="35"/>
      <c r="TBB365" s="35"/>
      <c r="TBC365" s="34"/>
      <c r="TBD365" s="34"/>
      <c r="TBE365" s="36"/>
      <c r="TBF365" s="36"/>
      <c r="TBG365" s="37"/>
      <c r="TBH365" s="37"/>
      <c r="TBI365" s="38"/>
      <c r="TBJ365" s="38"/>
      <c r="TBK365" s="39"/>
      <c r="TBL365" s="34"/>
      <c r="TBM365" s="34"/>
      <c r="TBN365" s="34"/>
      <c r="TBO365" s="35"/>
      <c r="TBP365" s="35"/>
      <c r="TBQ365" s="35"/>
      <c r="TBR365" s="35"/>
      <c r="TBS365" s="35"/>
      <c r="TBT365" s="34"/>
      <c r="TBU365" s="34"/>
      <c r="TBV365" s="36"/>
      <c r="TBW365" s="36"/>
      <c r="TBX365" s="37"/>
      <c r="TBY365" s="37"/>
      <c r="TBZ365" s="38"/>
      <c r="TCA365" s="38"/>
      <c r="TCB365" s="39"/>
      <c r="TCC365" s="34"/>
      <c r="TCD365" s="34"/>
      <c r="TCE365" s="34"/>
      <c r="TCF365" s="35"/>
      <c r="TCG365" s="35"/>
      <c r="TCH365" s="35"/>
      <c r="TCI365" s="35"/>
      <c r="TCJ365" s="35"/>
      <c r="TCK365" s="34"/>
      <c r="TCL365" s="34"/>
      <c r="TCM365" s="36"/>
      <c r="TCN365" s="36"/>
      <c r="TCO365" s="37"/>
      <c r="TCP365" s="37"/>
      <c r="TCQ365" s="38"/>
      <c r="TCR365" s="38"/>
      <c r="TCS365" s="39"/>
      <c r="TCT365" s="34"/>
      <c r="TCU365" s="34"/>
      <c r="TCV365" s="34"/>
      <c r="TCW365" s="35"/>
      <c r="TCX365" s="35"/>
      <c r="TCY365" s="35"/>
      <c r="TCZ365" s="35"/>
      <c r="TDA365" s="35"/>
      <c r="TDB365" s="34"/>
      <c r="TDC365" s="34"/>
      <c r="TDD365" s="36"/>
      <c r="TDE365" s="36"/>
      <c r="TDF365" s="37"/>
      <c r="TDG365" s="37"/>
      <c r="TDH365" s="38"/>
      <c r="TDI365" s="38"/>
      <c r="TDJ365" s="39"/>
      <c r="TDK365" s="34"/>
      <c r="TDL365" s="34"/>
      <c r="TDM365" s="34"/>
      <c r="TDN365" s="35"/>
      <c r="TDO365" s="35"/>
      <c r="TDP365" s="35"/>
      <c r="TDQ365" s="35"/>
      <c r="TDR365" s="35"/>
      <c r="TDS365" s="34"/>
      <c r="TDT365" s="34"/>
      <c r="TDU365" s="36"/>
      <c r="TDV365" s="36"/>
      <c r="TDW365" s="37"/>
      <c r="TDX365" s="37"/>
      <c r="TDY365" s="38"/>
      <c r="TDZ365" s="38"/>
      <c r="TEA365" s="39"/>
      <c r="TEB365" s="34"/>
      <c r="TEC365" s="34"/>
      <c r="TED365" s="34"/>
      <c r="TEE365" s="35"/>
      <c r="TEF365" s="35"/>
      <c r="TEG365" s="35"/>
      <c r="TEH365" s="35"/>
      <c r="TEI365" s="35"/>
      <c r="TEJ365" s="34"/>
      <c r="TEK365" s="34"/>
      <c r="TEL365" s="36"/>
      <c r="TEM365" s="36"/>
      <c r="TEN365" s="37"/>
      <c r="TEO365" s="37"/>
      <c r="TEP365" s="38"/>
      <c r="TEQ365" s="38"/>
      <c r="TER365" s="39"/>
      <c r="TES365" s="34"/>
      <c r="TET365" s="34"/>
      <c r="TEU365" s="34"/>
      <c r="TEV365" s="35"/>
      <c r="TEW365" s="35"/>
      <c r="TEX365" s="35"/>
      <c r="TEY365" s="35"/>
      <c r="TEZ365" s="35"/>
      <c r="TFA365" s="34"/>
      <c r="TFB365" s="34"/>
      <c r="TFC365" s="36"/>
      <c r="TFD365" s="36"/>
      <c r="TFE365" s="37"/>
      <c r="TFF365" s="37"/>
      <c r="TFG365" s="38"/>
      <c r="TFH365" s="38"/>
      <c r="TFI365" s="39"/>
      <c r="TFJ365" s="34"/>
      <c r="TFK365" s="34"/>
      <c r="TFL365" s="34"/>
      <c r="TFM365" s="35"/>
      <c r="TFN365" s="35"/>
      <c r="TFO365" s="35"/>
      <c r="TFP365" s="35"/>
      <c r="TFQ365" s="35"/>
      <c r="TFR365" s="34"/>
      <c r="TFS365" s="34"/>
      <c r="TFT365" s="36"/>
      <c r="TFU365" s="36"/>
      <c r="TFV365" s="37"/>
      <c r="TFW365" s="37"/>
      <c r="TFX365" s="38"/>
      <c r="TFY365" s="38"/>
      <c r="TFZ365" s="39"/>
      <c r="TGA365" s="34"/>
      <c r="TGB365" s="34"/>
      <c r="TGC365" s="34"/>
      <c r="TGD365" s="35"/>
      <c r="TGE365" s="35"/>
      <c r="TGF365" s="35"/>
      <c r="TGG365" s="35"/>
      <c r="TGH365" s="35"/>
      <c r="TGI365" s="34"/>
      <c r="TGJ365" s="34"/>
      <c r="TGK365" s="36"/>
      <c r="TGL365" s="36"/>
      <c r="TGM365" s="37"/>
      <c r="TGN365" s="37"/>
      <c r="TGO365" s="38"/>
      <c r="TGP365" s="38"/>
      <c r="TGQ365" s="39"/>
      <c r="TGR365" s="34"/>
      <c r="TGS365" s="34"/>
      <c r="TGT365" s="34"/>
      <c r="TGU365" s="35"/>
      <c r="TGV365" s="35"/>
      <c r="TGW365" s="35"/>
      <c r="TGX365" s="35"/>
      <c r="TGY365" s="35"/>
      <c r="TGZ365" s="34"/>
      <c r="THA365" s="34"/>
      <c r="THB365" s="36"/>
      <c r="THC365" s="36"/>
      <c r="THD365" s="37"/>
      <c r="THE365" s="37"/>
      <c r="THF365" s="38"/>
      <c r="THG365" s="38"/>
      <c r="THH365" s="39"/>
      <c r="THI365" s="34"/>
      <c r="THJ365" s="34"/>
      <c r="THK365" s="34"/>
      <c r="THL365" s="35"/>
      <c r="THM365" s="35"/>
      <c r="THN365" s="35"/>
      <c r="THO365" s="35"/>
      <c r="THP365" s="35"/>
      <c r="THQ365" s="34"/>
      <c r="THR365" s="34"/>
      <c r="THS365" s="36"/>
      <c r="THT365" s="36"/>
      <c r="THU365" s="37"/>
      <c r="THV365" s="37"/>
      <c r="THW365" s="38"/>
      <c r="THX365" s="38"/>
      <c r="THY365" s="39"/>
      <c r="THZ365" s="34"/>
      <c r="TIA365" s="34"/>
      <c r="TIB365" s="34"/>
      <c r="TIC365" s="35"/>
      <c r="TID365" s="35"/>
      <c r="TIE365" s="35"/>
      <c r="TIF365" s="35"/>
      <c r="TIG365" s="35"/>
      <c r="TIH365" s="34"/>
      <c r="TII365" s="34"/>
      <c r="TIJ365" s="36"/>
      <c r="TIK365" s="36"/>
      <c r="TIL365" s="37"/>
      <c r="TIM365" s="37"/>
      <c r="TIN365" s="38"/>
      <c r="TIO365" s="38"/>
      <c r="TIP365" s="39"/>
      <c r="TIQ365" s="34"/>
      <c r="TIR365" s="34"/>
      <c r="TIS365" s="34"/>
      <c r="TIT365" s="35"/>
      <c r="TIU365" s="35"/>
      <c r="TIV365" s="35"/>
      <c r="TIW365" s="35"/>
      <c r="TIX365" s="35"/>
      <c r="TIY365" s="34"/>
      <c r="TIZ365" s="34"/>
      <c r="TJA365" s="36"/>
      <c r="TJB365" s="36"/>
      <c r="TJC365" s="37"/>
      <c r="TJD365" s="37"/>
      <c r="TJE365" s="38"/>
      <c r="TJF365" s="38"/>
      <c r="TJG365" s="39"/>
      <c r="TJH365" s="34"/>
      <c r="TJI365" s="34"/>
      <c r="TJJ365" s="34"/>
      <c r="TJK365" s="35"/>
      <c r="TJL365" s="35"/>
      <c r="TJM365" s="35"/>
      <c r="TJN365" s="35"/>
      <c r="TJO365" s="35"/>
      <c r="TJP365" s="34"/>
      <c r="TJQ365" s="34"/>
      <c r="TJR365" s="36"/>
      <c r="TJS365" s="36"/>
      <c r="TJT365" s="37"/>
      <c r="TJU365" s="37"/>
      <c r="TJV365" s="38"/>
      <c r="TJW365" s="38"/>
      <c r="TJX365" s="39"/>
      <c r="TJY365" s="34"/>
      <c r="TJZ365" s="34"/>
      <c r="TKA365" s="34"/>
      <c r="TKB365" s="35"/>
      <c r="TKC365" s="35"/>
      <c r="TKD365" s="35"/>
      <c r="TKE365" s="35"/>
      <c r="TKF365" s="35"/>
      <c r="TKG365" s="34"/>
      <c r="TKH365" s="34"/>
      <c r="TKI365" s="36"/>
      <c r="TKJ365" s="36"/>
      <c r="TKK365" s="37"/>
      <c r="TKL365" s="37"/>
      <c r="TKM365" s="38"/>
      <c r="TKN365" s="38"/>
      <c r="TKO365" s="39"/>
      <c r="TKP365" s="34"/>
      <c r="TKQ365" s="34"/>
      <c r="TKR365" s="34"/>
      <c r="TKS365" s="35"/>
      <c r="TKT365" s="35"/>
      <c r="TKU365" s="35"/>
      <c r="TKV365" s="35"/>
      <c r="TKW365" s="35"/>
      <c r="TKX365" s="34"/>
      <c r="TKY365" s="34"/>
      <c r="TKZ365" s="36"/>
      <c r="TLA365" s="36"/>
      <c r="TLB365" s="37"/>
      <c r="TLC365" s="37"/>
      <c r="TLD365" s="38"/>
      <c r="TLE365" s="38"/>
      <c r="TLF365" s="39"/>
      <c r="TLG365" s="34"/>
      <c r="TLH365" s="34"/>
      <c r="TLI365" s="34"/>
      <c r="TLJ365" s="35"/>
      <c r="TLK365" s="35"/>
      <c r="TLL365" s="35"/>
      <c r="TLM365" s="35"/>
      <c r="TLN365" s="35"/>
      <c r="TLO365" s="34"/>
      <c r="TLP365" s="34"/>
      <c r="TLQ365" s="36"/>
      <c r="TLR365" s="36"/>
      <c r="TLS365" s="37"/>
      <c r="TLT365" s="37"/>
      <c r="TLU365" s="38"/>
      <c r="TLV365" s="38"/>
      <c r="TLW365" s="39"/>
      <c r="TLX365" s="34"/>
      <c r="TLY365" s="34"/>
      <c r="TLZ365" s="34"/>
      <c r="TMA365" s="35"/>
      <c r="TMB365" s="35"/>
      <c r="TMC365" s="35"/>
      <c r="TMD365" s="35"/>
      <c r="TME365" s="35"/>
      <c r="TMF365" s="34"/>
      <c r="TMG365" s="34"/>
      <c r="TMH365" s="36"/>
      <c r="TMI365" s="36"/>
      <c r="TMJ365" s="37"/>
      <c r="TMK365" s="37"/>
      <c r="TML365" s="38"/>
      <c r="TMM365" s="38"/>
      <c r="TMN365" s="39"/>
      <c r="TMO365" s="34"/>
      <c r="TMP365" s="34"/>
      <c r="TMQ365" s="34"/>
      <c r="TMR365" s="35"/>
      <c r="TMS365" s="35"/>
      <c r="TMT365" s="35"/>
      <c r="TMU365" s="35"/>
      <c r="TMV365" s="35"/>
      <c r="TMW365" s="34"/>
      <c r="TMX365" s="34"/>
      <c r="TMY365" s="36"/>
      <c r="TMZ365" s="36"/>
      <c r="TNA365" s="37"/>
      <c r="TNB365" s="37"/>
      <c r="TNC365" s="38"/>
      <c r="TND365" s="38"/>
      <c r="TNE365" s="39"/>
      <c r="TNF365" s="34"/>
      <c r="TNG365" s="34"/>
      <c r="TNH365" s="34"/>
      <c r="TNI365" s="35"/>
      <c r="TNJ365" s="35"/>
      <c r="TNK365" s="35"/>
      <c r="TNL365" s="35"/>
      <c r="TNM365" s="35"/>
      <c r="TNN365" s="34"/>
      <c r="TNO365" s="34"/>
      <c r="TNP365" s="36"/>
      <c r="TNQ365" s="36"/>
      <c r="TNR365" s="37"/>
      <c r="TNS365" s="37"/>
      <c r="TNT365" s="38"/>
      <c r="TNU365" s="38"/>
      <c r="TNV365" s="39"/>
      <c r="TNW365" s="34"/>
      <c r="TNX365" s="34"/>
      <c r="TNY365" s="34"/>
      <c r="TNZ365" s="35"/>
      <c r="TOA365" s="35"/>
      <c r="TOB365" s="35"/>
      <c r="TOC365" s="35"/>
      <c r="TOD365" s="35"/>
      <c r="TOE365" s="34"/>
      <c r="TOF365" s="34"/>
      <c r="TOG365" s="36"/>
      <c r="TOH365" s="36"/>
      <c r="TOI365" s="37"/>
      <c r="TOJ365" s="37"/>
      <c r="TOK365" s="38"/>
      <c r="TOL365" s="38"/>
      <c r="TOM365" s="39"/>
      <c r="TON365" s="34"/>
      <c r="TOO365" s="34"/>
      <c r="TOP365" s="34"/>
      <c r="TOQ365" s="35"/>
      <c r="TOR365" s="35"/>
      <c r="TOS365" s="35"/>
      <c r="TOT365" s="35"/>
      <c r="TOU365" s="35"/>
      <c r="TOV365" s="34"/>
      <c r="TOW365" s="34"/>
      <c r="TOX365" s="36"/>
      <c r="TOY365" s="36"/>
      <c r="TOZ365" s="37"/>
      <c r="TPA365" s="37"/>
      <c r="TPB365" s="38"/>
      <c r="TPC365" s="38"/>
      <c r="TPD365" s="39"/>
      <c r="TPE365" s="34"/>
      <c r="TPF365" s="34"/>
      <c r="TPG365" s="34"/>
      <c r="TPH365" s="35"/>
      <c r="TPI365" s="35"/>
      <c r="TPJ365" s="35"/>
      <c r="TPK365" s="35"/>
      <c r="TPL365" s="35"/>
      <c r="TPM365" s="34"/>
      <c r="TPN365" s="34"/>
      <c r="TPO365" s="36"/>
      <c r="TPP365" s="36"/>
      <c r="TPQ365" s="37"/>
      <c r="TPR365" s="37"/>
      <c r="TPS365" s="38"/>
      <c r="TPT365" s="38"/>
      <c r="TPU365" s="39"/>
      <c r="TPV365" s="34"/>
      <c r="TPW365" s="34"/>
      <c r="TPX365" s="34"/>
      <c r="TPY365" s="35"/>
      <c r="TPZ365" s="35"/>
      <c r="TQA365" s="35"/>
      <c r="TQB365" s="35"/>
      <c r="TQC365" s="35"/>
      <c r="TQD365" s="34"/>
      <c r="TQE365" s="34"/>
      <c r="TQF365" s="36"/>
      <c r="TQG365" s="36"/>
      <c r="TQH365" s="37"/>
      <c r="TQI365" s="37"/>
      <c r="TQJ365" s="38"/>
      <c r="TQK365" s="38"/>
      <c r="TQL365" s="39"/>
      <c r="TQM365" s="34"/>
      <c r="TQN365" s="34"/>
      <c r="TQO365" s="34"/>
      <c r="TQP365" s="35"/>
      <c r="TQQ365" s="35"/>
      <c r="TQR365" s="35"/>
      <c r="TQS365" s="35"/>
      <c r="TQT365" s="35"/>
      <c r="TQU365" s="34"/>
      <c r="TQV365" s="34"/>
      <c r="TQW365" s="36"/>
      <c r="TQX365" s="36"/>
      <c r="TQY365" s="37"/>
      <c r="TQZ365" s="37"/>
      <c r="TRA365" s="38"/>
      <c r="TRB365" s="38"/>
      <c r="TRC365" s="39"/>
      <c r="TRD365" s="34"/>
      <c r="TRE365" s="34"/>
      <c r="TRF365" s="34"/>
      <c r="TRG365" s="35"/>
      <c r="TRH365" s="35"/>
      <c r="TRI365" s="35"/>
      <c r="TRJ365" s="35"/>
      <c r="TRK365" s="35"/>
      <c r="TRL365" s="34"/>
      <c r="TRM365" s="34"/>
      <c r="TRN365" s="36"/>
      <c r="TRO365" s="36"/>
      <c r="TRP365" s="37"/>
      <c r="TRQ365" s="37"/>
      <c r="TRR365" s="38"/>
      <c r="TRS365" s="38"/>
      <c r="TRT365" s="39"/>
      <c r="TRU365" s="34"/>
      <c r="TRV365" s="34"/>
      <c r="TRW365" s="34"/>
      <c r="TRX365" s="35"/>
      <c r="TRY365" s="35"/>
      <c r="TRZ365" s="35"/>
      <c r="TSA365" s="35"/>
      <c r="TSB365" s="35"/>
      <c r="TSC365" s="34"/>
      <c r="TSD365" s="34"/>
      <c r="TSE365" s="36"/>
      <c r="TSF365" s="36"/>
      <c r="TSG365" s="37"/>
      <c r="TSH365" s="37"/>
      <c r="TSI365" s="38"/>
      <c r="TSJ365" s="38"/>
      <c r="TSK365" s="39"/>
      <c r="TSL365" s="34"/>
      <c r="TSM365" s="34"/>
      <c r="TSN365" s="34"/>
      <c r="TSO365" s="35"/>
      <c r="TSP365" s="35"/>
      <c r="TSQ365" s="35"/>
      <c r="TSR365" s="35"/>
      <c r="TSS365" s="35"/>
      <c r="TST365" s="34"/>
      <c r="TSU365" s="34"/>
      <c r="TSV365" s="36"/>
      <c r="TSW365" s="36"/>
      <c r="TSX365" s="37"/>
      <c r="TSY365" s="37"/>
      <c r="TSZ365" s="38"/>
      <c r="TTA365" s="38"/>
      <c r="TTB365" s="39"/>
      <c r="TTC365" s="34"/>
      <c r="TTD365" s="34"/>
      <c r="TTE365" s="34"/>
      <c r="TTF365" s="35"/>
      <c r="TTG365" s="35"/>
      <c r="TTH365" s="35"/>
      <c r="TTI365" s="35"/>
      <c r="TTJ365" s="35"/>
      <c r="TTK365" s="34"/>
      <c r="TTL365" s="34"/>
      <c r="TTM365" s="36"/>
      <c r="TTN365" s="36"/>
      <c r="TTO365" s="37"/>
      <c r="TTP365" s="37"/>
      <c r="TTQ365" s="38"/>
      <c r="TTR365" s="38"/>
      <c r="TTS365" s="39"/>
      <c r="TTT365" s="34"/>
      <c r="TTU365" s="34"/>
      <c r="TTV365" s="34"/>
      <c r="TTW365" s="35"/>
      <c r="TTX365" s="35"/>
      <c r="TTY365" s="35"/>
      <c r="TTZ365" s="35"/>
      <c r="TUA365" s="35"/>
      <c r="TUB365" s="34"/>
      <c r="TUC365" s="34"/>
      <c r="TUD365" s="36"/>
      <c r="TUE365" s="36"/>
      <c r="TUF365" s="37"/>
      <c r="TUG365" s="37"/>
      <c r="TUH365" s="38"/>
      <c r="TUI365" s="38"/>
      <c r="TUJ365" s="39"/>
      <c r="TUK365" s="34"/>
      <c r="TUL365" s="34"/>
      <c r="TUM365" s="34"/>
      <c r="TUN365" s="35"/>
      <c r="TUO365" s="35"/>
      <c r="TUP365" s="35"/>
      <c r="TUQ365" s="35"/>
      <c r="TUR365" s="35"/>
      <c r="TUS365" s="34"/>
      <c r="TUT365" s="34"/>
      <c r="TUU365" s="36"/>
      <c r="TUV365" s="36"/>
      <c r="TUW365" s="37"/>
      <c r="TUX365" s="37"/>
      <c r="TUY365" s="38"/>
      <c r="TUZ365" s="38"/>
      <c r="TVA365" s="39"/>
      <c r="TVB365" s="34"/>
      <c r="TVC365" s="34"/>
      <c r="TVD365" s="34"/>
      <c r="TVE365" s="35"/>
      <c r="TVF365" s="35"/>
      <c r="TVG365" s="35"/>
      <c r="TVH365" s="35"/>
      <c r="TVI365" s="35"/>
      <c r="TVJ365" s="34"/>
      <c r="TVK365" s="34"/>
      <c r="TVL365" s="36"/>
      <c r="TVM365" s="36"/>
      <c r="TVN365" s="37"/>
      <c r="TVO365" s="37"/>
      <c r="TVP365" s="38"/>
      <c r="TVQ365" s="38"/>
      <c r="TVR365" s="39"/>
      <c r="TVS365" s="34"/>
      <c r="TVT365" s="34"/>
      <c r="TVU365" s="34"/>
      <c r="TVV365" s="35"/>
      <c r="TVW365" s="35"/>
      <c r="TVX365" s="35"/>
      <c r="TVY365" s="35"/>
      <c r="TVZ365" s="35"/>
      <c r="TWA365" s="34"/>
      <c r="TWB365" s="34"/>
      <c r="TWC365" s="36"/>
      <c r="TWD365" s="36"/>
      <c r="TWE365" s="37"/>
      <c r="TWF365" s="37"/>
      <c r="TWG365" s="38"/>
      <c r="TWH365" s="38"/>
      <c r="TWI365" s="39"/>
      <c r="TWJ365" s="34"/>
      <c r="TWK365" s="34"/>
      <c r="TWL365" s="34"/>
      <c r="TWM365" s="35"/>
      <c r="TWN365" s="35"/>
      <c r="TWO365" s="35"/>
      <c r="TWP365" s="35"/>
      <c r="TWQ365" s="35"/>
      <c r="TWR365" s="34"/>
      <c r="TWS365" s="34"/>
      <c r="TWT365" s="36"/>
      <c r="TWU365" s="36"/>
      <c r="TWV365" s="37"/>
      <c r="TWW365" s="37"/>
      <c r="TWX365" s="38"/>
      <c r="TWY365" s="38"/>
      <c r="TWZ365" s="39"/>
      <c r="TXA365" s="34"/>
      <c r="TXB365" s="34"/>
      <c r="TXC365" s="34"/>
      <c r="TXD365" s="35"/>
      <c r="TXE365" s="35"/>
      <c r="TXF365" s="35"/>
      <c r="TXG365" s="35"/>
      <c r="TXH365" s="35"/>
      <c r="TXI365" s="34"/>
      <c r="TXJ365" s="34"/>
      <c r="TXK365" s="36"/>
      <c r="TXL365" s="36"/>
      <c r="TXM365" s="37"/>
      <c r="TXN365" s="37"/>
      <c r="TXO365" s="38"/>
      <c r="TXP365" s="38"/>
      <c r="TXQ365" s="39"/>
      <c r="TXR365" s="34"/>
      <c r="TXS365" s="34"/>
      <c r="TXT365" s="34"/>
      <c r="TXU365" s="35"/>
      <c r="TXV365" s="35"/>
      <c r="TXW365" s="35"/>
      <c r="TXX365" s="35"/>
      <c r="TXY365" s="35"/>
      <c r="TXZ365" s="34"/>
      <c r="TYA365" s="34"/>
      <c r="TYB365" s="36"/>
      <c r="TYC365" s="36"/>
      <c r="TYD365" s="37"/>
      <c r="TYE365" s="37"/>
      <c r="TYF365" s="38"/>
      <c r="TYG365" s="38"/>
      <c r="TYH365" s="39"/>
      <c r="TYI365" s="34"/>
      <c r="TYJ365" s="34"/>
      <c r="TYK365" s="34"/>
      <c r="TYL365" s="35"/>
      <c r="TYM365" s="35"/>
      <c r="TYN365" s="35"/>
      <c r="TYO365" s="35"/>
      <c r="TYP365" s="35"/>
      <c r="TYQ365" s="34"/>
      <c r="TYR365" s="34"/>
      <c r="TYS365" s="36"/>
      <c r="TYT365" s="36"/>
      <c r="TYU365" s="37"/>
      <c r="TYV365" s="37"/>
      <c r="TYW365" s="38"/>
      <c r="TYX365" s="38"/>
      <c r="TYY365" s="39"/>
      <c r="TYZ365" s="34"/>
      <c r="TZA365" s="34"/>
      <c r="TZB365" s="34"/>
      <c r="TZC365" s="35"/>
      <c r="TZD365" s="35"/>
      <c r="TZE365" s="35"/>
      <c r="TZF365" s="35"/>
      <c r="TZG365" s="35"/>
      <c r="TZH365" s="34"/>
      <c r="TZI365" s="34"/>
      <c r="TZJ365" s="36"/>
      <c r="TZK365" s="36"/>
      <c r="TZL365" s="37"/>
      <c r="TZM365" s="37"/>
      <c r="TZN365" s="38"/>
      <c r="TZO365" s="38"/>
      <c r="TZP365" s="39"/>
      <c r="TZQ365" s="34"/>
      <c r="TZR365" s="34"/>
      <c r="TZS365" s="34"/>
      <c r="TZT365" s="35"/>
      <c r="TZU365" s="35"/>
      <c r="TZV365" s="35"/>
      <c r="TZW365" s="35"/>
      <c r="TZX365" s="35"/>
      <c r="TZY365" s="34"/>
      <c r="TZZ365" s="34"/>
      <c r="UAA365" s="36"/>
      <c r="UAB365" s="36"/>
      <c r="UAC365" s="37"/>
      <c r="UAD365" s="37"/>
      <c r="UAE365" s="38"/>
      <c r="UAF365" s="38"/>
      <c r="UAG365" s="39"/>
      <c r="UAH365" s="34"/>
      <c r="UAI365" s="34"/>
      <c r="UAJ365" s="34"/>
      <c r="UAK365" s="35"/>
      <c r="UAL365" s="35"/>
      <c r="UAM365" s="35"/>
      <c r="UAN365" s="35"/>
      <c r="UAO365" s="35"/>
      <c r="UAP365" s="34"/>
      <c r="UAQ365" s="34"/>
      <c r="UAR365" s="36"/>
      <c r="UAS365" s="36"/>
      <c r="UAT365" s="37"/>
      <c r="UAU365" s="37"/>
      <c r="UAV365" s="38"/>
      <c r="UAW365" s="38"/>
      <c r="UAX365" s="39"/>
      <c r="UAY365" s="34"/>
      <c r="UAZ365" s="34"/>
      <c r="UBA365" s="34"/>
      <c r="UBB365" s="35"/>
      <c r="UBC365" s="35"/>
      <c r="UBD365" s="35"/>
      <c r="UBE365" s="35"/>
      <c r="UBF365" s="35"/>
      <c r="UBG365" s="34"/>
      <c r="UBH365" s="34"/>
      <c r="UBI365" s="36"/>
      <c r="UBJ365" s="36"/>
      <c r="UBK365" s="37"/>
      <c r="UBL365" s="37"/>
      <c r="UBM365" s="38"/>
      <c r="UBN365" s="38"/>
      <c r="UBO365" s="39"/>
      <c r="UBP365" s="34"/>
      <c r="UBQ365" s="34"/>
      <c r="UBR365" s="34"/>
      <c r="UBS365" s="35"/>
      <c r="UBT365" s="35"/>
      <c r="UBU365" s="35"/>
      <c r="UBV365" s="35"/>
      <c r="UBW365" s="35"/>
      <c r="UBX365" s="34"/>
      <c r="UBY365" s="34"/>
      <c r="UBZ365" s="36"/>
      <c r="UCA365" s="36"/>
      <c r="UCB365" s="37"/>
      <c r="UCC365" s="37"/>
      <c r="UCD365" s="38"/>
      <c r="UCE365" s="38"/>
      <c r="UCF365" s="39"/>
      <c r="UCG365" s="34"/>
      <c r="UCH365" s="34"/>
      <c r="UCI365" s="34"/>
      <c r="UCJ365" s="35"/>
      <c r="UCK365" s="35"/>
      <c r="UCL365" s="35"/>
      <c r="UCM365" s="35"/>
      <c r="UCN365" s="35"/>
      <c r="UCO365" s="34"/>
      <c r="UCP365" s="34"/>
      <c r="UCQ365" s="36"/>
      <c r="UCR365" s="36"/>
      <c r="UCS365" s="37"/>
      <c r="UCT365" s="37"/>
      <c r="UCU365" s="38"/>
      <c r="UCV365" s="38"/>
      <c r="UCW365" s="39"/>
      <c r="UCX365" s="34"/>
      <c r="UCY365" s="34"/>
      <c r="UCZ365" s="34"/>
      <c r="UDA365" s="35"/>
      <c r="UDB365" s="35"/>
      <c r="UDC365" s="35"/>
      <c r="UDD365" s="35"/>
      <c r="UDE365" s="35"/>
      <c r="UDF365" s="34"/>
      <c r="UDG365" s="34"/>
      <c r="UDH365" s="36"/>
      <c r="UDI365" s="36"/>
      <c r="UDJ365" s="37"/>
      <c r="UDK365" s="37"/>
      <c r="UDL365" s="38"/>
      <c r="UDM365" s="38"/>
      <c r="UDN365" s="39"/>
      <c r="UDO365" s="34"/>
      <c r="UDP365" s="34"/>
      <c r="UDQ365" s="34"/>
      <c r="UDR365" s="35"/>
      <c r="UDS365" s="35"/>
      <c r="UDT365" s="35"/>
      <c r="UDU365" s="35"/>
      <c r="UDV365" s="35"/>
      <c r="UDW365" s="34"/>
      <c r="UDX365" s="34"/>
      <c r="UDY365" s="36"/>
      <c r="UDZ365" s="36"/>
      <c r="UEA365" s="37"/>
      <c r="UEB365" s="37"/>
      <c r="UEC365" s="38"/>
      <c r="UED365" s="38"/>
      <c r="UEE365" s="39"/>
      <c r="UEF365" s="34"/>
      <c r="UEG365" s="34"/>
      <c r="UEH365" s="34"/>
      <c r="UEI365" s="35"/>
      <c r="UEJ365" s="35"/>
      <c r="UEK365" s="35"/>
      <c r="UEL365" s="35"/>
      <c r="UEM365" s="35"/>
      <c r="UEN365" s="34"/>
      <c r="UEO365" s="34"/>
      <c r="UEP365" s="36"/>
      <c r="UEQ365" s="36"/>
      <c r="UER365" s="37"/>
      <c r="UES365" s="37"/>
      <c r="UET365" s="38"/>
      <c r="UEU365" s="38"/>
      <c r="UEV365" s="39"/>
      <c r="UEW365" s="34"/>
      <c r="UEX365" s="34"/>
      <c r="UEY365" s="34"/>
      <c r="UEZ365" s="35"/>
      <c r="UFA365" s="35"/>
      <c r="UFB365" s="35"/>
      <c r="UFC365" s="35"/>
      <c r="UFD365" s="35"/>
      <c r="UFE365" s="34"/>
      <c r="UFF365" s="34"/>
      <c r="UFG365" s="36"/>
      <c r="UFH365" s="36"/>
      <c r="UFI365" s="37"/>
      <c r="UFJ365" s="37"/>
      <c r="UFK365" s="38"/>
      <c r="UFL365" s="38"/>
      <c r="UFM365" s="39"/>
      <c r="UFN365" s="34"/>
      <c r="UFO365" s="34"/>
      <c r="UFP365" s="34"/>
      <c r="UFQ365" s="35"/>
      <c r="UFR365" s="35"/>
      <c r="UFS365" s="35"/>
      <c r="UFT365" s="35"/>
      <c r="UFU365" s="35"/>
      <c r="UFV365" s="34"/>
      <c r="UFW365" s="34"/>
      <c r="UFX365" s="36"/>
      <c r="UFY365" s="36"/>
      <c r="UFZ365" s="37"/>
      <c r="UGA365" s="37"/>
      <c r="UGB365" s="38"/>
      <c r="UGC365" s="38"/>
      <c r="UGD365" s="39"/>
      <c r="UGE365" s="34"/>
      <c r="UGF365" s="34"/>
      <c r="UGG365" s="34"/>
      <c r="UGH365" s="35"/>
      <c r="UGI365" s="35"/>
      <c r="UGJ365" s="35"/>
      <c r="UGK365" s="35"/>
      <c r="UGL365" s="35"/>
      <c r="UGM365" s="34"/>
      <c r="UGN365" s="34"/>
      <c r="UGO365" s="36"/>
      <c r="UGP365" s="36"/>
      <c r="UGQ365" s="37"/>
      <c r="UGR365" s="37"/>
      <c r="UGS365" s="38"/>
      <c r="UGT365" s="38"/>
      <c r="UGU365" s="39"/>
      <c r="UGV365" s="34"/>
      <c r="UGW365" s="34"/>
      <c r="UGX365" s="34"/>
      <c r="UGY365" s="35"/>
      <c r="UGZ365" s="35"/>
      <c r="UHA365" s="35"/>
      <c r="UHB365" s="35"/>
      <c r="UHC365" s="35"/>
      <c r="UHD365" s="34"/>
      <c r="UHE365" s="34"/>
      <c r="UHF365" s="36"/>
      <c r="UHG365" s="36"/>
      <c r="UHH365" s="37"/>
      <c r="UHI365" s="37"/>
      <c r="UHJ365" s="38"/>
      <c r="UHK365" s="38"/>
      <c r="UHL365" s="39"/>
      <c r="UHM365" s="34"/>
      <c r="UHN365" s="34"/>
      <c r="UHO365" s="34"/>
      <c r="UHP365" s="35"/>
      <c r="UHQ365" s="35"/>
      <c r="UHR365" s="35"/>
      <c r="UHS365" s="35"/>
      <c r="UHT365" s="35"/>
      <c r="UHU365" s="34"/>
      <c r="UHV365" s="34"/>
      <c r="UHW365" s="36"/>
      <c r="UHX365" s="36"/>
      <c r="UHY365" s="37"/>
      <c r="UHZ365" s="37"/>
      <c r="UIA365" s="38"/>
      <c r="UIB365" s="38"/>
      <c r="UIC365" s="39"/>
      <c r="UID365" s="34"/>
      <c r="UIE365" s="34"/>
      <c r="UIF365" s="34"/>
      <c r="UIG365" s="35"/>
      <c r="UIH365" s="35"/>
      <c r="UII365" s="35"/>
      <c r="UIJ365" s="35"/>
      <c r="UIK365" s="35"/>
      <c r="UIL365" s="34"/>
      <c r="UIM365" s="34"/>
      <c r="UIN365" s="36"/>
      <c r="UIO365" s="36"/>
      <c r="UIP365" s="37"/>
      <c r="UIQ365" s="37"/>
      <c r="UIR365" s="38"/>
      <c r="UIS365" s="38"/>
      <c r="UIT365" s="39"/>
      <c r="UIU365" s="34"/>
      <c r="UIV365" s="34"/>
      <c r="UIW365" s="34"/>
      <c r="UIX365" s="35"/>
      <c r="UIY365" s="35"/>
      <c r="UIZ365" s="35"/>
      <c r="UJA365" s="35"/>
      <c r="UJB365" s="35"/>
      <c r="UJC365" s="34"/>
      <c r="UJD365" s="34"/>
      <c r="UJE365" s="36"/>
      <c r="UJF365" s="36"/>
      <c r="UJG365" s="37"/>
      <c r="UJH365" s="37"/>
      <c r="UJI365" s="38"/>
      <c r="UJJ365" s="38"/>
      <c r="UJK365" s="39"/>
      <c r="UJL365" s="34"/>
      <c r="UJM365" s="34"/>
      <c r="UJN365" s="34"/>
      <c r="UJO365" s="35"/>
      <c r="UJP365" s="35"/>
      <c r="UJQ365" s="35"/>
      <c r="UJR365" s="35"/>
      <c r="UJS365" s="35"/>
      <c r="UJT365" s="34"/>
      <c r="UJU365" s="34"/>
      <c r="UJV365" s="36"/>
      <c r="UJW365" s="36"/>
      <c r="UJX365" s="37"/>
      <c r="UJY365" s="37"/>
      <c r="UJZ365" s="38"/>
      <c r="UKA365" s="38"/>
      <c r="UKB365" s="39"/>
      <c r="UKC365" s="34"/>
      <c r="UKD365" s="34"/>
      <c r="UKE365" s="34"/>
      <c r="UKF365" s="35"/>
      <c r="UKG365" s="35"/>
      <c r="UKH365" s="35"/>
      <c r="UKI365" s="35"/>
      <c r="UKJ365" s="35"/>
      <c r="UKK365" s="34"/>
      <c r="UKL365" s="34"/>
      <c r="UKM365" s="36"/>
      <c r="UKN365" s="36"/>
      <c r="UKO365" s="37"/>
      <c r="UKP365" s="37"/>
      <c r="UKQ365" s="38"/>
      <c r="UKR365" s="38"/>
      <c r="UKS365" s="39"/>
      <c r="UKT365" s="34"/>
      <c r="UKU365" s="34"/>
      <c r="UKV365" s="34"/>
      <c r="UKW365" s="35"/>
      <c r="UKX365" s="35"/>
      <c r="UKY365" s="35"/>
      <c r="UKZ365" s="35"/>
      <c r="ULA365" s="35"/>
      <c r="ULB365" s="34"/>
      <c r="ULC365" s="34"/>
      <c r="ULD365" s="36"/>
      <c r="ULE365" s="36"/>
      <c r="ULF365" s="37"/>
      <c r="ULG365" s="37"/>
      <c r="ULH365" s="38"/>
      <c r="ULI365" s="38"/>
      <c r="ULJ365" s="39"/>
      <c r="ULK365" s="34"/>
      <c r="ULL365" s="34"/>
      <c r="ULM365" s="34"/>
      <c r="ULN365" s="35"/>
      <c r="ULO365" s="35"/>
      <c r="ULP365" s="35"/>
      <c r="ULQ365" s="35"/>
      <c r="ULR365" s="35"/>
      <c r="ULS365" s="34"/>
      <c r="ULT365" s="34"/>
      <c r="ULU365" s="36"/>
      <c r="ULV365" s="36"/>
      <c r="ULW365" s="37"/>
      <c r="ULX365" s="37"/>
      <c r="ULY365" s="38"/>
      <c r="ULZ365" s="38"/>
      <c r="UMA365" s="39"/>
      <c r="UMB365" s="34"/>
      <c r="UMC365" s="34"/>
      <c r="UMD365" s="34"/>
      <c r="UME365" s="35"/>
      <c r="UMF365" s="35"/>
      <c r="UMG365" s="35"/>
      <c r="UMH365" s="35"/>
      <c r="UMI365" s="35"/>
      <c r="UMJ365" s="34"/>
      <c r="UMK365" s="34"/>
      <c r="UML365" s="36"/>
      <c r="UMM365" s="36"/>
      <c r="UMN365" s="37"/>
      <c r="UMO365" s="37"/>
      <c r="UMP365" s="38"/>
      <c r="UMQ365" s="38"/>
      <c r="UMR365" s="39"/>
      <c r="UMS365" s="34"/>
      <c r="UMT365" s="34"/>
      <c r="UMU365" s="34"/>
      <c r="UMV365" s="35"/>
      <c r="UMW365" s="35"/>
      <c r="UMX365" s="35"/>
      <c r="UMY365" s="35"/>
      <c r="UMZ365" s="35"/>
      <c r="UNA365" s="34"/>
      <c r="UNB365" s="34"/>
      <c r="UNC365" s="36"/>
      <c r="UND365" s="36"/>
      <c r="UNE365" s="37"/>
      <c r="UNF365" s="37"/>
      <c r="UNG365" s="38"/>
      <c r="UNH365" s="38"/>
      <c r="UNI365" s="39"/>
      <c r="UNJ365" s="34"/>
      <c r="UNK365" s="34"/>
      <c r="UNL365" s="34"/>
      <c r="UNM365" s="35"/>
      <c r="UNN365" s="35"/>
      <c r="UNO365" s="35"/>
      <c r="UNP365" s="35"/>
      <c r="UNQ365" s="35"/>
      <c r="UNR365" s="34"/>
      <c r="UNS365" s="34"/>
      <c r="UNT365" s="36"/>
      <c r="UNU365" s="36"/>
      <c r="UNV365" s="37"/>
      <c r="UNW365" s="37"/>
      <c r="UNX365" s="38"/>
      <c r="UNY365" s="38"/>
      <c r="UNZ365" s="39"/>
      <c r="UOA365" s="34"/>
      <c r="UOB365" s="34"/>
      <c r="UOC365" s="34"/>
      <c r="UOD365" s="35"/>
      <c r="UOE365" s="35"/>
      <c r="UOF365" s="35"/>
      <c r="UOG365" s="35"/>
      <c r="UOH365" s="35"/>
      <c r="UOI365" s="34"/>
      <c r="UOJ365" s="34"/>
      <c r="UOK365" s="36"/>
      <c r="UOL365" s="36"/>
      <c r="UOM365" s="37"/>
      <c r="UON365" s="37"/>
      <c r="UOO365" s="38"/>
      <c r="UOP365" s="38"/>
      <c r="UOQ365" s="39"/>
      <c r="UOR365" s="34"/>
      <c r="UOS365" s="34"/>
      <c r="UOT365" s="34"/>
      <c r="UOU365" s="35"/>
      <c r="UOV365" s="35"/>
      <c r="UOW365" s="35"/>
      <c r="UOX365" s="35"/>
      <c r="UOY365" s="35"/>
      <c r="UOZ365" s="34"/>
      <c r="UPA365" s="34"/>
      <c r="UPB365" s="36"/>
      <c r="UPC365" s="36"/>
      <c r="UPD365" s="37"/>
      <c r="UPE365" s="37"/>
      <c r="UPF365" s="38"/>
      <c r="UPG365" s="38"/>
      <c r="UPH365" s="39"/>
      <c r="UPI365" s="34"/>
      <c r="UPJ365" s="34"/>
      <c r="UPK365" s="34"/>
      <c r="UPL365" s="35"/>
      <c r="UPM365" s="35"/>
      <c r="UPN365" s="35"/>
      <c r="UPO365" s="35"/>
      <c r="UPP365" s="35"/>
      <c r="UPQ365" s="34"/>
      <c r="UPR365" s="34"/>
      <c r="UPS365" s="36"/>
      <c r="UPT365" s="36"/>
      <c r="UPU365" s="37"/>
      <c r="UPV365" s="37"/>
      <c r="UPW365" s="38"/>
      <c r="UPX365" s="38"/>
      <c r="UPY365" s="39"/>
      <c r="UPZ365" s="34"/>
      <c r="UQA365" s="34"/>
      <c r="UQB365" s="34"/>
      <c r="UQC365" s="35"/>
      <c r="UQD365" s="35"/>
      <c r="UQE365" s="35"/>
      <c r="UQF365" s="35"/>
      <c r="UQG365" s="35"/>
      <c r="UQH365" s="34"/>
      <c r="UQI365" s="34"/>
      <c r="UQJ365" s="36"/>
      <c r="UQK365" s="36"/>
      <c r="UQL365" s="37"/>
      <c r="UQM365" s="37"/>
      <c r="UQN365" s="38"/>
      <c r="UQO365" s="38"/>
      <c r="UQP365" s="39"/>
      <c r="UQQ365" s="34"/>
      <c r="UQR365" s="34"/>
      <c r="UQS365" s="34"/>
      <c r="UQT365" s="35"/>
      <c r="UQU365" s="35"/>
      <c r="UQV365" s="35"/>
      <c r="UQW365" s="35"/>
      <c r="UQX365" s="35"/>
      <c r="UQY365" s="34"/>
      <c r="UQZ365" s="34"/>
      <c r="URA365" s="36"/>
      <c r="URB365" s="36"/>
      <c r="URC365" s="37"/>
      <c r="URD365" s="37"/>
      <c r="URE365" s="38"/>
      <c r="URF365" s="38"/>
      <c r="URG365" s="39"/>
      <c r="URH365" s="34"/>
      <c r="URI365" s="34"/>
      <c r="URJ365" s="34"/>
      <c r="URK365" s="35"/>
      <c r="URL365" s="35"/>
      <c r="URM365" s="35"/>
      <c r="URN365" s="35"/>
      <c r="URO365" s="35"/>
      <c r="URP365" s="34"/>
      <c r="URQ365" s="34"/>
      <c r="URR365" s="36"/>
      <c r="URS365" s="36"/>
      <c r="URT365" s="37"/>
      <c r="URU365" s="37"/>
      <c r="URV365" s="38"/>
      <c r="URW365" s="38"/>
      <c r="URX365" s="39"/>
      <c r="URY365" s="34"/>
      <c r="URZ365" s="34"/>
      <c r="USA365" s="34"/>
      <c r="USB365" s="35"/>
      <c r="USC365" s="35"/>
      <c r="USD365" s="35"/>
      <c r="USE365" s="35"/>
      <c r="USF365" s="35"/>
      <c r="USG365" s="34"/>
      <c r="USH365" s="34"/>
      <c r="USI365" s="36"/>
      <c r="USJ365" s="36"/>
      <c r="USK365" s="37"/>
      <c r="USL365" s="37"/>
      <c r="USM365" s="38"/>
      <c r="USN365" s="38"/>
      <c r="USO365" s="39"/>
      <c r="USP365" s="34"/>
      <c r="USQ365" s="34"/>
      <c r="USR365" s="34"/>
      <c r="USS365" s="35"/>
      <c r="UST365" s="35"/>
      <c r="USU365" s="35"/>
      <c r="USV365" s="35"/>
      <c r="USW365" s="35"/>
      <c r="USX365" s="34"/>
      <c r="USY365" s="34"/>
      <c r="USZ365" s="36"/>
      <c r="UTA365" s="36"/>
      <c r="UTB365" s="37"/>
      <c r="UTC365" s="37"/>
      <c r="UTD365" s="38"/>
      <c r="UTE365" s="38"/>
      <c r="UTF365" s="39"/>
      <c r="UTG365" s="34"/>
      <c r="UTH365" s="34"/>
      <c r="UTI365" s="34"/>
      <c r="UTJ365" s="35"/>
      <c r="UTK365" s="35"/>
      <c r="UTL365" s="35"/>
      <c r="UTM365" s="35"/>
      <c r="UTN365" s="35"/>
      <c r="UTO365" s="34"/>
      <c r="UTP365" s="34"/>
      <c r="UTQ365" s="36"/>
      <c r="UTR365" s="36"/>
      <c r="UTS365" s="37"/>
      <c r="UTT365" s="37"/>
      <c r="UTU365" s="38"/>
      <c r="UTV365" s="38"/>
      <c r="UTW365" s="39"/>
      <c r="UTX365" s="34"/>
      <c r="UTY365" s="34"/>
      <c r="UTZ365" s="34"/>
      <c r="UUA365" s="35"/>
      <c r="UUB365" s="35"/>
      <c r="UUC365" s="35"/>
      <c r="UUD365" s="35"/>
      <c r="UUE365" s="35"/>
      <c r="UUF365" s="34"/>
      <c r="UUG365" s="34"/>
      <c r="UUH365" s="36"/>
      <c r="UUI365" s="36"/>
      <c r="UUJ365" s="37"/>
      <c r="UUK365" s="37"/>
      <c r="UUL365" s="38"/>
      <c r="UUM365" s="38"/>
      <c r="UUN365" s="39"/>
      <c r="UUO365" s="34"/>
      <c r="UUP365" s="34"/>
      <c r="UUQ365" s="34"/>
      <c r="UUR365" s="35"/>
      <c r="UUS365" s="35"/>
      <c r="UUT365" s="35"/>
      <c r="UUU365" s="35"/>
      <c r="UUV365" s="35"/>
      <c r="UUW365" s="34"/>
      <c r="UUX365" s="34"/>
      <c r="UUY365" s="36"/>
      <c r="UUZ365" s="36"/>
      <c r="UVA365" s="37"/>
      <c r="UVB365" s="37"/>
      <c r="UVC365" s="38"/>
      <c r="UVD365" s="38"/>
      <c r="UVE365" s="39"/>
      <c r="UVF365" s="34"/>
      <c r="UVG365" s="34"/>
      <c r="UVH365" s="34"/>
      <c r="UVI365" s="35"/>
      <c r="UVJ365" s="35"/>
      <c r="UVK365" s="35"/>
      <c r="UVL365" s="35"/>
      <c r="UVM365" s="35"/>
      <c r="UVN365" s="34"/>
      <c r="UVO365" s="34"/>
      <c r="UVP365" s="36"/>
      <c r="UVQ365" s="36"/>
      <c r="UVR365" s="37"/>
      <c r="UVS365" s="37"/>
      <c r="UVT365" s="38"/>
      <c r="UVU365" s="38"/>
      <c r="UVV365" s="39"/>
      <c r="UVW365" s="34"/>
      <c r="UVX365" s="34"/>
      <c r="UVY365" s="34"/>
      <c r="UVZ365" s="35"/>
      <c r="UWA365" s="35"/>
      <c r="UWB365" s="35"/>
      <c r="UWC365" s="35"/>
      <c r="UWD365" s="35"/>
      <c r="UWE365" s="34"/>
      <c r="UWF365" s="34"/>
      <c r="UWG365" s="36"/>
      <c r="UWH365" s="36"/>
      <c r="UWI365" s="37"/>
      <c r="UWJ365" s="37"/>
      <c r="UWK365" s="38"/>
      <c r="UWL365" s="38"/>
      <c r="UWM365" s="39"/>
      <c r="UWN365" s="34"/>
      <c r="UWO365" s="34"/>
      <c r="UWP365" s="34"/>
      <c r="UWQ365" s="35"/>
      <c r="UWR365" s="35"/>
      <c r="UWS365" s="35"/>
      <c r="UWT365" s="35"/>
      <c r="UWU365" s="35"/>
      <c r="UWV365" s="34"/>
      <c r="UWW365" s="34"/>
      <c r="UWX365" s="36"/>
      <c r="UWY365" s="36"/>
      <c r="UWZ365" s="37"/>
      <c r="UXA365" s="37"/>
      <c r="UXB365" s="38"/>
      <c r="UXC365" s="38"/>
      <c r="UXD365" s="39"/>
      <c r="UXE365" s="34"/>
      <c r="UXF365" s="34"/>
      <c r="UXG365" s="34"/>
      <c r="UXH365" s="35"/>
      <c r="UXI365" s="35"/>
      <c r="UXJ365" s="35"/>
      <c r="UXK365" s="35"/>
      <c r="UXL365" s="35"/>
      <c r="UXM365" s="34"/>
      <c r="UXN365" s="34"/>
      <c r="UXO365" s="36"/>
      <c r="UXP365" s="36"/>
      <c r="UXQ365" s="37"/>
      <c r="UXR365" s="37"/>
      <c r="UXS365" s="38"/>
      <c r="UXT365" s="38"/>
      <c r="UXU365" s="39"/>
      <c r="UXV365" s="34"/>
      <c r="UXW365" s="34"/>
      <c r="UXX365" s="34"/>
      <c r="UXY365" s="35"/>
      <c r="UXZ365" s="35"/>
      <c r="UYA365" s="35"/>
      <c r="UYB365" s="35"/>
      <c r="UYC365" s="35"/>
      <c r="UYD365" s="34"/>
      <c r="UYE365" s="34"/>
      <c r="UYF365" s="36"/>
      <c r="UYG365" s="36"/>
      <c r="UYH365" s="37"/>
      <c r="UYI365" s="37"/>
      <c r="UYJ365" s="38"/>
      <c r="UYK365" s="38"/>
      <c r="UYL365" s="39"/>
      <c r="UYM365" s="34"/>
      <c r="UYN365" s="34"/>
      <c r="UYO365" s="34"/>
      <c r="UYP365" s="35"/>
      <c r="UYQ365" s="35"/>
      <c r="UYR365" s="35"/>
      <c r="UYS365" s="35"/>
      <c r="UYT365" s="35"/>
      <c r="UYU365" s="34"/>
      <c r="UYV365" s="34"/>
      <c r="UYW365" s="36"/>
      <c r="UYX365" s="36"/>
      <c r="UYY365" s="37"/>
      <c r="UYZ365" s="37"/>
      <c r="UZA365" s="38"/>
      <c r="UZB365" s="38"/>
      <c r="UZC365" s="39"/>
      <c r="UZD365" s="34"/>
      <c r="UZE365" s="34"/>
      <c r="UZF365" s="34"/>
      <c r="UZG365" s="35"/>
      <c r="UZH365" s="35"/>
      <c r="UZI365" s="35"/>
      <c r="UZJ365" s="35"/>
      <c r="UZK365" s="35"/>
      <c r="UZL365" s="34"/>
      <c r="UZM365" s="34"/>
      <c r="UZN365" s="36"/>
      <c r="UZO365" s="36"/>
      <c r="UZP365" s="37"/>
      <c r="UZQ365" s="37"/>
      <c r="UZR365" s="38"/>
      <c r="UZS365" s="38"/>
      <c r="UZT365" s="39"/>
      <c r="UZU365" s="34"/>
      <c r="UZV365" s="34"/>
      <c r="UZW365" s="34"/>
      <c r="UZX365" s="35"/>
      <c r="UZY365" s="35"/>
      <c r="UZZ365" s="35"/>
      <c r="VAA365" s="35"/>
      <c r="VAB365" s="35"/>
      <c r="VAC365" s="34"/>
      <c r="VAD365" s="34"/>
      <c r="VAE365" s="36"/>
      <c r="VAF365" s="36"/>
      <c r="VAG365" s="37"/>
      <c r="VAH365" s="37"/>
      <c r="VAI365" s="38"/>
      <c r="VAJ365" s="38"/>
      <c r="VAK365" s="39"/>
      <c r="VAL365" s="34"/>
      <c r="VAM365" s="34"/>
      <c r="VAN365" s="34"/>
      <c r="VAO365" s="35"/>
      <c r="VAP365" s="35"/>
      <c r="VAQ365" s="35"/>
      <c r="VAR365" s="35"/>
      <c r="VAS365" s="35"/>
      <c r="VAT365" s="34"/>
      <c r="VAU365" s="34"/>
      <c r="VAV365" s="36"/>
      <c r="VAW365" s="36"/>
      <c r="VAX365" s="37"/>
      <c r="VAY365" s="37"/>
      <c r="VAZ365" s="38"/>
      <c r="VBA365" s="38"/>
      <c r="VBB365" s="39"/>
      <c r="VBC365" s="34"/>
      <c r="VBD365" s="34"/>
      <c r="VBE365" s="34"/>
      <c r="VBF365" s="35"/>
      <c r="VBG365" s="35"/>
      <c r="VBH365" s="35"/>
      <c r="VBI365" s="35"/>
      <c r="VBJ365" s="35"/>
      <c r="VBK365" s="34"/>
      <c r="VBL365" s="34"/>
      <c r="VBM365" s="36"/>
      <c r="VBN365" s="36"/>
      <c r="VBO365" s="37"/>
      <c r="VBP365" s="37"/>
      <c r="VBQ365" s="38"/>
      <c r="VBR365" s="38"/>
      <c r="VBS365" s="39"/>
      <c r="VBT365" s="34"/>
      <c r="VBU365" s="34"/>
      <c r="VBV365" s="34"/>
      <c r="VBW365" s="35"/>
      <c r="VBX365" s="35"/>
      <c r="VBY365" s="35"/>
      <c r="VBZ365" s="35"/>
      <c r="VCA365" s="35"/>
      <c r="VCB365" s="34"/>
      <c r="VCC365" s="34"/>
      <c r="VCD365" s="36"/>
      <c r="VCE365" s="36"/>
      <c r="VCF365" s="37"/>
      <c r="VCG365" s="37"/>
      <c r="VCH365" s="38"/>
      <c r="VCI365" s="38"/>
      <c r="VCJ365" s="39"/>
      <c r="VCK365" s="34"/>
      <c r="VCL365" s="34"/>
      <c r="VCM365" s="34"/>
      <c r="VCN365" s="35"/>
      <c r="VCO365" s="35"/>
      <c r="VCP365" s="35"/>
      <c r="VCQ365" s="35"/>
      <c r="VCR365" s="35"/>
      <c r="VCS365" s="34"/>
      <c r="VCT365" s="34"/>
      <c r="VCU365" s="36"/>
      <c r="VCV365" s="36"/>
      <c r="VCW365" s="37"/>
      <c r="VCX365" s="37"/>
      <c r="VCY365" s="38"/>
      <c r="VCZ365" s="38"/>
      <c r="VDA365" s="39"/>
      <c r="VDB365" s="34"/>
      <c r="VDC365" s="34"/>
      <c r="VDD365" s="34"/>
      <c r="VDE365" s="35"/>
      <c r="VDF365" s="35"/>
      <c r="VDG365" s="35"/>
      <c r="VDH365" s="35"/>
      <c r="VDI365" s="35"/>
      <c r="VDJ365" s="34"/>
      <c r="VDK365" s="34"/>
      <c r="VDL365" s="36"/>
      <c r="VDM365" s="36"/>
      <c r="VDN365" s="37"/>
      <c r="VDO365" s="37"/>
      <c r="VDP365" s="38"/>
      <c r="VDQ365" s="38"/>
      <c r="VDR365" s="39"/>
      <c r="VDS365" s="34"/>
      <c r="VDT365" s="34"/>
      <c r="VDU365" s="34"/>
      <c r="VDV365" s="35"/>
      <c r="VDW365" s="35"/>
      <c r="VDX365" s="35"/>
      <c r="VDY365" s="35"/>
      <c r="VDZ365" s="35"/>
      <c r="VEA365" s="34"/>
      <c r="VEB365" s="34"/>
      <c r="VEC365" s="36"/>
      <c r="VED365" s="36"/>
      <c r="VEE365" s="37"/>
      <c r="VEF365" s="37"/>
      <c r="VEG365" s="38"/>
      <c r="VEH365" s="38"/>
      <c r="VEI365" s="39"/>
      <c r="VEJ365" s="34"/>
      <c r="VEK365" s="34"/>
      <c r="VEL365" s="34"/>
      <c r="VEM365" s="35"/>
      <c r="VEN365" s="35"/>
      <c r="VEO365" s="35"/>
      <c r="VEP365" s="35"/>
      <c r="VEQ365" s="35"/>
      <c r="VER365" s="34"/>
      <c r="VES365" s="34"/>
      <c r="VET365" s="36"/>
      <c r="VEU365" s="36"/>
      <c r="VEV365" s="37"/>
      <c r="VEW365" s="37"/>
      <c r="VEX365" s="38"/>
      <c r="VEY365" s="38"/>
      <c r="VEZ365" s="39"/>
      <c r="VFA365" s="34"/>
      <c r="VFB365" s="34"/>
      <c r="VFC365" s="34"/>
      <c r="VFD365" s="35"/>
      <c r="VFE365" s="35"/>
      <c r="VFF365" s="35"/>
      <c r="VFG365" s="35"/>
      <c r="VFH365" s="35"/>
      <c r="VFI365" s="34"/>
      <c r="VFJ365" s="34"/>
      <c r="VFK365" s="36"/>
      <c r="VFL365" s="36"/>
      <c r="VFM365" s="37"/>
      <c r="VFN365" s="37"/>
      <c r="VFO365" s="38"/>
      <c r="VFP365" s="38"/>
      <c r="VFQ365" s="39"/>
      <c r="VFR365" s="34"/>
      <c r="VFS365" s="34"/>
      <c r="VFT365" s="34"/>
      <c r="VFU365" s="35"/>
      <c r="VFV365" s="35"/>
      <c r="VFW365" s="35"/>
      <c r="VFX365" s="35"/>
      <c r="VFY365" s="35"/>
      <c r="VFZ365" s="34"/>
      <c r="VGA365" s="34"/>
      <c r="VGB365" s="36"/>
      <c r="VGC365" s="36"/>
      <c r="VGD365" s="37"/>
      <c r="VGE365" s="37"/>
      <c r="VGF365" s="38"/>
      <c r="VGG365" s="38"/>
      <c r="VGH365" s="39"/>
      <c r="VGI365" s="34"/>
      <c r="VGJ365" s="34"/>
      <c r="VGK365" s="34"/>
      <c r="VGL365" s="35"/>
      <c r="VGM365" s="35"/>
      <c r="VGN365" s="35"/>
      <c r="VGO365" s="35"/>
      <c r="VGP365" s="35"/>
      <c r="VGQ365" s="34"/>
      <c r="VGR365" s="34"/>
      <c r="VGS365" s="36"/>
      <c r="VGT365" s="36"/>
      <c r="VGU365" s="37"/>
      <c r="VGV365" s="37"/>
      <c r="VGW365" s="38"/>
      <c r="VGX365" s="38"/>
      <c r="VGY365" s="39"/>
      <c r="VGZ365" s="34"/>
      <c r="VHA365" s="34"/>
      <c r="VHB365" s="34"/>
      <c r="VHC365" s="35"/>
      <c r="VHD365" s="35"/>
      <c r="VHE365" s="35"/>
      <c r="VHF365" s="35"/>
      <c r="VHG365" s="35"/>
      <c r="VHH365" s="34"/>
      <c r="VHI365" s="34"/>
      <c r="VHJ365" s="36"/>
      <c r="VHK365" s="36"/>
      <c r="VHL365" s="37"/>
      <c r="VHM365" s="37"/>
      <c r="VHN365" s="38"/>
      <c r="VHO365" s="38"/>
      <c r="VHP365" s="39"/>
      <c r="VHQ365" s="34"/>
      <c r="VHR365" s="34"/>
      <c r="VHS365" s="34"/>
      <c r="VHT365" s="35"/>
      <c r="VHU365" s="35"/>
      <c r="VHV365" s="35"/>
      <c r="VHW365" s="35"/>
      <c r="VHX365" s="35"/>
      <c r="VHY365" s="34"/>
      <c r="VHZ365" s="34"/>
      <c r="VIA365" s="36"/>
      <c r="VIB365" s="36"/>
      <c r="VIC365" s="37"/>
      <c r="VID365" s="37"/>
      <c r="VIE365" s="38"/>
      <c r="VIF365" s="38"/>
      <c r="VIG365" s="39"/>
      <c r="VIH365" s="34"/>
      <c r="VII365" s="34"/>
      <c r="VIJ365" s="34"/>
      <c r="VIK365" s="35"/>
      <c r="VIL365" s="35"/>
      <c r="VIM365" s="35"/>
      <c r="VIN365" s="35"/>
      <c r="VIO365" s="35"/>
      <c r="VIP365" s="34"/>
      <c r="VIQ365" s="34"/>
      <c r="VIR365" s="36"/>
      <c r="VIS365" s="36"/>
      <c r="VIT365" s="37"/>
      <c r="VIU365" s="37"/>
      <c r="VIV365" s="38"/>
      <c r="VIW365" s="38"/>
      <c r="VIX365" s="39"/>
      <c r="VIY365" s="34"/>
      <c r="VIZ365" s="34"/>
      <c r="VJA365" s="34"/>
      <c r="VJB365" s="35"/>
      <c r="VJC365" s="35"/>
      <c r="VJD365" s="35"/>
      <c r="VJE365" s="35"/>
      <c r="VJF365" s="35"/>
      <c r="VJG365" s="34"/>
      <c r="VJH365" s="34"/>
      <c r="VJI365" s="36"/>
      <c r="VJJ365" s="36"/>
      <c r="VJK365" s="37"/>
      <c r="VJL365" s="37"/>
      <c r="VJM365" s="38"/>
      <c r="VJN365" s="38"/>
      <c r="VJO365" s="39"/>
      <c r="VJP365" s="34"/>
      <c r="VJQ365" s="34"/>
      <c r="VJR365" s="34"/>
      <c r="VJS365" s="35"/>
      <c r="VJT365" s="35"/>
      <c r="VJU365" s="35"/>
      <c r="VJV365" s="35"/>
      <c r="VJW365" s="35"/>
      <c r="VJX365" s="34"/>
      <c r="VJY365" s="34"/>
      <c r="VJZ365" s="36"/>
      <c r="VKA365" s="36"/>
      <c r="VKB365" s="37"/>
      <c r="VKC365" s="37"/>
      <c r="VKD365" s="38"/>
      <c r="VKE365" s="38"/>
      <c r="VKF365" s="39"/>
      <c r="VKG365" s="34"/>
      <c r="VKH365" s="34"/>
      <c r="VKI365" s="34"/>
      <c r="VKJ365" s="35"/>
      <c r="VKK365" s="35"/>
      <c r="VKL365" s="35"/>
      <c r="VKM365" s="35"/>
      <c r="VKN365" s="35"/>
      <c r="VKO365" s="34"/>
      <c r="VKP365" s="34"/>
      <c r="VKQ365" s="36"/>
      <c r="VKR365" s="36"/>
      <c r="VKS365" s="37"/>
      <c r="VKT365" s="37"/>
      <c r="VKU365" s="38"/>
      <c r="VKV365" s="38"/>
      <c r="VKW365" s="39"/>
      <c r="VKX365" s="34"/>
      <c r="VKY365" s="34"/>
      <c r="VKZ365" s="34"/>
      <c r="VLA365" s="35"/>
      <c r="VLB365" s="35"/>
      <c r="VLC365" s="35"/>
      <c r="VLD365" s="35"/>
      <c r="VLE365" s="35"/>
      <c r="VLF365" s="34"/>
      <c r="VLG365" s="34"/>
      <c r="VLH365" s="36"/>
      <c r="VLI365" s="36"/>
      <c r="VLJ365" s="37"/>
      <c r="VLK365" s="37"/>
      <c r="VLL365" s="38"/>
      <c r="VLM365" s="38"/>
      <c r="VLN365" s="39"/>
      <c r="VLO365" s="34"/>
      <c r="VLP365" s="34"/>
      <c r="VLQ365" s="34"/>
      <c r="VLR365" s="35"/>
      <c r="VLS365" s="35"/>
      <c r="VLT365" s="35"/>
      <c r="VLU365" s="35"/>
      <c r="VLV365" s="35"/>
      <c r="VLW365" s="34"/>
      <c r="VLX365" s="34"/>
      <c r="VLY365" s="36"/>
      <c r="VLZ365" s="36"/>
      <c r="VMA365" s="37"/>
      <c r="VMB365" s="37"/>
      <c r="VMC365" s="38"/>
      <c r="VMD365" s="38"/>
      <c r="VME365" s="39"/>
      <c r="VMF365" s="34"/>
      <c r="VMG365" s="34"/>
      <c r="VMH365" s="34"/>
      <c r="VMI365" s="35"/>
      <c r="VMJ365" s="35"/>
      <c r="VMK365" s="35"/>
      <c r="VML365" s="35"/>
      <c r="VMM365" s="35"/>
      <c r="VMN365" s="34"/>
      <c r="VMO365" s="34"/>
      <c r="VMP365" s="36"/>
      <c r="VMQ365" s="36"/>
      <c r="VMR365" s="37"/>
      <c r="VMS365" s="37"/>
      <c r="VMT365" s="38"/>
      <c r="VMU365" s="38"/>
      <c r="VMV365" s="39"/>
      <c r="VMW365" s="34"/>
      <c r="VMX365" s="34"/>
      <c r="VMY365" s="34"/>
      <c r="VMZ365" s="35"/>
      <c r="VNA365" s="35"/>
      <c r="VNB365" s="35"/>
      <c r="VNC365" s="35"/>
      <c r="VND365" s="35"/>
      <c r="VNE365" s="34"/>
      <c r="VNF365" s="34"/>
      <c r="VNG365" s="36"/>
      <c r="VNH365" s="36"/>
      <c r="VNI365" s="37"/>
      <c r="VNJ365" s="37"/>
      <c r="VNK365" s="38"/>
      <c r="VNL365" s="38"/>
      <c r="VNM365" s="39"/>
      <c r="VNN365" s="34"/>
      <c r="VNO365" s="34"/>
      <c r="VNP365" s="34"/>
      <c r="VNQ365" s="35"/>
      <c r="VNR365" s="35"/>
      <c r="VNS365" s="35"/>
      <c r="VNT365" s="35"/>
      <c r="VNU365" s="35"/>
      <c r="VNV365" s="34"/>
      <c r="VNW365" s="34"/>
      <c r="VNX365" s="36"/>
      <c r="VNY365" s="36"/>
      <c r="VNZ365" s="37"/>
      <c r="VOA365" s="37"/>
      <c r="VOB365" s="38"/>
      <c r="VOC365" s="38"/>
      <c r="VOD365" s="39"/>
      <c r="VOE365" s="34"/>
      <c r="VOF365" s="34"/>
      <c r="VOG365" s="34"/>
      <c r="VOH365" s="35"/>
      <c r="VOI365" s="35"/>
      <c r="VOJ365" s="35"/>
      <c r="VOK365" s="35"/>
      <c r="VOL365" s="35"/>
      <c r="VOM365" s="34"/>
      <c r="VON365" s="34"/>
      <c r="VOO365" s="36"/>
      <c r="VOP365" s="36"/>
      <c r="VOQ365" s="37"/>
      <c r="VOR365" s="37"/>
      <c r="VOS365" s="38"/>
      <c r="VOT365" s="38"/>
      <c r="VOU365" s="39"/>
      <c r="VOV365" s="34"/>
      <c r="VOW365" s="34"/>
      <c r="VOX365" s="34"/>
      <c r="VOY365" s="35"/>
      <c r="VOZ365" s="35"/>
      <c r="VPA365" s="35"/>
      <c r="VPB365" s="35"/>
      <c r="VPC365" s="35"/>
      <c r="VPD365" s="34"/>
      <c r="VPE365" s="34"/>
      <c r="VPF365" s="36"/>
      <c r="VPG365" s="36"/>
      <c r="VPH365" s="37"/>
      <c r="VPI365" s="37"/>
      <c r="VPJ365" s="38"/>
      <c r="VPK365" s="38"/>
      <c r="VPL365" s="39"/>
      <c r="VPM365" s="34"/>
      <c r="VPN365" s="34"/>
      <c r="VPO365" s="34"/>
      <c r="VPP365" s="35"/>
      <c r="VPQ365" s="35"/>
      <c r="VPR365" s="35"/>
      <c r="VPS365" s="35"/>
      <c r="VPT365" s="35"/>
      <c r="VPU365" s="34"/>
      <c r="VPV365" s="34"/>
      <c r="VPW365" s="36"/>
      <c r="VPX365" s="36"/>
      <c r="VPY365" s="37"/>
      <c r="VPZ365" s="37"/>
      <c r="VQA365" s="38"/>
      <c r="VQB365" s="38"/>
      <c r="VQC365" s="39"/>
      <c r="VQD365" s="34"/>
      <c r="VQE365" s="34"/>
      <c r="VQF365" s="34"/>
      <c r="VQG365" s="35"/>
      <c r="VQH365" s="35"/>
      <c r="VQI365" s="35"/>
      <c r="VQJ365" s="35"/>
      <c r="VQK365" s="35"/>
      <c r="VQL365" s="34"/>
      <c r="VQM365" s="34"/>
      <c r="VQN365" s="36"/>
      <c r="VQO365" s="36"/>
      <c r="VQP365" s="37"/>
      <c r="VQQ365" s="37"/>
      <c r="VQR365" s="38"/>
      <c r="VQS365" s="38"/>
      <c r="VQT365" s="39"/>
      <c r="VQU365" s="34"/>
      <c r="VQV365" s="34"/>
      <c r="VQW365" s="34"/>
      <c r="VQX365" s="35"/>
      <c r="VQY365" s="35"/>
      <c r="VQZ365" s="35"/>
      <c r="VRA365" s="35"/>
      <c r="VRB365" s="35"/>
      <c r="VRC365" s="34"/>
      <c r="VRD365" s="34"/>
      <c r="VRE365" s="36"/>
      <c r="VRF365" s="36"/>
      <c r="VRG365" s="37"/>
      <c r="VRH365" s="37"/>
      <c r="VRI365" s="38"/>
      <c r="VRJ365" s="38"/>
      <c r="VRK365" s="39"/>
      <c r="VRL365" s="34"/>
      <c r="VRM365" s="34"/>
      <c r="VRN365" s="34"/>
      <c r="VRO365" s="35"/>
      <c r="VRP365" s="35"/>
      <c r="VRQ365" s="35"/>
      <c r="VRR365" s="35"/>
      <c r="VRS365" s="35"/>
      <c r="VRT365" s="34"/>
      <c r="VRU365" s="34"/>
      <c r="VRV365" s="36"/>
      <c r="VRW365" s="36"/>
      <c r="VRX365" s="37"/>
      <c r="VRY365" s="37"/>
      <c r="VRZ365" s="38"/>
      <c r="VSA365" s="38"/>
      <c r="VSB365" s="39"/>
      <c r="VSC365" s="34"/>
      <c r="VSD365" s="34"/>
      <c r="VSE365" s="34"/>
      <c r="VSF365" s="35"/>
      <c r="VSG365" s="35"/>
      <c r="VSH365" s="35"/>
      <c r="VSI365" s="35"/>
      <c r="VSJ365" s="35"/>
      <c r="VSK365" s="34"/>
      <c r="VSL365" s="34"/>
      <c r="VSM365" s="36"/>
      <c r="VSN365" s="36"/>
      <c r="VSO365" s="37"/>
      <c r="VSP365" s="37"/>
      <c r="VSQ365" s="38"/>
      <c r="VSR365" s="38"/>
      <c r="VSS365" s="39"/>
      <c r="VST365" s="34"/>
      <c r="VSU365" s="34"/>
      <c r="VSV365" s="34"/>
      <c r="VSW365" s="35"/>
      <c r="VSX365" s="35"/>
      <c r="VSY365" s="35"/>
      <c r="VSZ365" s="35"/>
      <c r="VTA365" s="35"/>
      <c r="VTB365" s="34"/>
      <c r="VTC365" s="34"/>
      <c r="VTD365" s="36"/>
      <c r="VTE365" s="36"/>
      <c r="VTF365" s="37"/>
      <c r="VTG365" s="37"/>
      <c r="VTH365" s="38"/>
      <c r="VTI365" s="38"/>
      <c r="VTJ365" s="39"/>
      <c r="VTK365" s="34"/>
      <c r="VTL365" s="34"/>
      <c r="VTM365" s="34"/>
      <c r="VTN365" s="35"/>
      <c r="VTO365" s="35"/>
      <c r="VTP365" s="35"/>
      <c r="VTQ365" s="35"/>
      <c r="VTR365" s="35"/>
      <c r="VTS365" s="34"/>
      <c r="VTT365" s="34"/>
      <c r="VTU365" s="36"/>
      <c r="VTV365" s="36"/>
      <c r="VTW365" s="37"/>
      <c r="VTX365" s="37"/>
      <c r="VTY365" s="38"/>
      <c r="VTZ365" s="38"/>
      <c r="VUA365" s="39"/>
      <c r="VUB365" s="34"/>
      <c r="VUC365" s="34"/>
      <c r="VUD365" s="34"/>
      <c r="VUE365" s="35"/>
      <c r="VUF365" s="35"/>
      <c r="VUG365" s="35"/>
      <c r="VUH365" s="35"/>
      <c r="VUI365" s="35"/>
      <c r="VUJ365" s="34"/>
      <c r="VUK365" s="34"/>
      <c r="VUL365" s="36"/>
      <c r="VUM365" s="36"/>
      <c r="VUN365" s="37"/>
      <c r="VUO365" s="37"/>
      <c r="VUP365" s="38"/>
      <c r="VUQ365" s="38"/>
      <c r="VUR365" s="39"/>
      <c r="VUS365" s="34"/>
      <c r="VUT365" s="34"/>
      <c r="VUU365" s="34"/>
      <c r="VUV365" s="35"/>
      <c r="VUW365" s="35"/>
      <c r="VUX365" s="35"/>
      <c r="VUY365" s="35"/>
      <c r="VUZ365" s="35"/>
      <c r="VVA365" s="34"/>
      <c r="VVB365" s="34"/>
      <c r="VVC365" s="36"/>
      <c r="VVD365" s="36"/>
      <c r="VVE365" s="37"/>
      <c r="VVF365" s="37"/>
      <c r="VVG365" s="38"/>
      <c r="VVH365" s="38"/>
      <c r="VVI365" s="39"/>
      <c r="VVJ365" s="34"/>
      <c r="VVK365" s="34"/>
      <c r="VVL365" s="34"/>
      <c r="VVM365" s="35"/>
      <c r="VVN365" s="35"/>
      <c r="VVO365" s="35"/>
      <c r="VVP365" s="35"/>
      <c r="VVQ365" s="35"/>
      <c r="VVR365" s="34"/>
      <c r="VVS365" s="34"/>
      <c r="VVT365" s="36"/>
      <c r="VVU365" s="36"/>
      <c r="VVV365" s="37"/>
      <c r="VVW365" s="37"/>
      <c r="VVX365" s="38"/>
      <c r="VVY365" s="38"/>
      <c r="VVZ365" s="39"/>
      <c r="VWA365" s="34"/>
      <c r="VWB365" s="34"/>
      <c r="VWC365" s="34"/>
      <c r="VWD365" s="35"/>
      <c r="VWE365" s="35"/>
      <c r="VWF365" s="35"/>
      <c r="VWG365" s="35"/>
      <c r="VWH365" s="35"/>
      <c r="VWI365" s="34"/>
      <c r="VWJ365" s="34"/>
      <c r="VWK365" s="36"/>
      <c r="VWL365" s="36"/>
      <c r="VWM365" s="37"/>
      <c r="VWN365" s="37"/>
      <c r="VWO365" s="38"/>
      <c r="VWP365" s="38"/>
      <c r="VWQ365" s="39"/>
      <c r="VWR365" s="34"/>
      <c r="VWS365" s="34"/>
      <c r="VWT365" s="34"/>
      <c r="VWU365" s="35"/>
      <c r="VWV365" s="35"/>
      <c r="VWW365" s="35"/>
      <c r="VWX365" s="35"/>
      <c r="VWY365" s="35"/>
      <c r="VWZ365" s="34"/>
      <c r="VXA365" s="34"/>
      <c r="VXB365" s="36"/>
      <c r="VXC365" s="36"/>
      <c r="VXD365" s="37"/>
      <c r="VXE365" s="37"/>
      <c r="VXF365" s="38"/>
      <c r="VXG365" s="38"/>
      <c r="VXH365" s="39"/>
      <c r="VXI365" s="34"/>
      <c r="VXJ365" s="34"/>
      <c r="VXK365" s="34"/>
      <c r="VXL365" s="35"/>
      <c r="VXM365" s="35"/>
      <c r="VXN365" s="35"/>
      <c r="VXO365" s="35"/>
      <c r="VXP365" s="35"/>
      <c r="VXQ365" s="34"/>
      <c r="VXR365" s="34"/>
      <c r="VXS365" s="36"/>
      <c r="VXT365" s="36"/>
      <c r="VXU365" s="37"/>
      <c r="VXV365" s="37"/>
      <c r="VXW365" s="38"/>
      <c r="VXX365" s="38"/>
      <c r="VXY365" s="39"/>
      <c r="VXZ365" s="34"/>
      <c r="VYA365" s="34"/>
      <c r="VYB365" s="34"/>
      <c r="VYC365" s="35"/>
      <c r="VYD365" s="35"/>
      <c r="VYE365" s="35"/>
      <c r="VYF365" s="35"/>
      <c r="VYG365" s="35"/>
      <c r="VYH365" s="34"/>
      <c r="VYI365" s="34"/>
      <c r="VYJ365" s="36"/>
      <c r="VYK365" s="36"/>
      <c r="VYL365" s="37"/>
      <c r="VYM365" s="37"/>
      <c r="VYN365" s="38"/>
      <c r="VYO365" s="38"/>
      <c r="VYP365" s="39"/>
      <c r="VYQ365" s="34"/>
      <c r="VYR365" s="34"/>
      <c r="VYS365" s="34"/>
      <c r="VYT365" s="35"/>
      <c r="VYU365" s="35"/>
      <c r="VYV365" s="35"/>
      <c r="VYW365" s="35"/>
      <c r="VYX365" s="35"/>
      <c r="VYY365" s="34"/>
      <c r="VYZ365" s="34"/>
      <c r="VZA365" s="36"/>
      <c r="VZB365" s="36"/>
      <c r="VZC365" s="37"/>
      <c r="VZD365" s="37"/>
      <c r="VZE365" s="38"/>
      <c r="VZF365" s="38"/>
      <c r="VZG365" s="39"/>
      <c r="VZH365" s="34"/>
      <c r="VZI365" s="34"/>
      <c r="VZJ365" s="34"/>
      <c r="VZK365" s="35"/>
      <c r="VZL365" s="35"/>
      <c r="VZM365" s="35"/>
      <c r="VZN365" s="35"/>
      <c r="VZO365" s="35"/>
      <c r="VZP365" s="34"/>
      <c r="VZQ365" s="34"/>
      <c r="VZR365" s="36"/>
      <c r="VZS365" s="36"/>
      <c r="VZT365" s="37"/>
      <c r="VZU365" s="37"/>
      <c r="VZV365" s="38"/>
      <c r="VZW365" s="38"/>
      <c r="VZX365" s="39"/>
      <c r="VZY365" s="34"/>
      <c r="VZZ365" s="34"/>
      <c r="WAA365" s="34"/>
      <c r="WAB365" s="35"/>
      <c r="WAC365" s="35"/>
      <c r="WAD365" s="35"/>
      <c r="WAE365" s="35"/>
      <c r="WAF365" s="35"/>
      <c r="WAG365" s="34"/>
      <c r="WAH365" s="34"/>
      <c r="WAI365" s="36"/>
      <c r="WAJ365" s="36"/>
      <c r="WAK365" s="37"/>
      <c r="WAL365" s="37"/>
      <c r="WAM365" s="38"/>
      <c r="WAN365" s="38"/>
      <c r="WAO365" s="39"/>
      <c r="WAP365" s="34"/>
      <c r="WAQ365" s="34"/>
      <c r="WAR365" s="34"/>
      <c r="WAS365" s="35"/>
      <c r="WAT365" s="35"/>
      <c r="WAU365" s="35"/>
      <c r="WAV365" s="35"/>
      <c r="WAW365" s="35"/>
      <c r="WAX365" s="34"/>
      <c r="WAY365" s="34"/>
      <c r="WAZ365" s="36"/>
      <c r="WBA365" s="36"/>
      <c r="WBB365" s="37"/>
      <c r="WBC365" s="37"/>
      <c r="WBD365" s="38"/>
      <c r="WBE365" s="38"/>
      <c r="WBF365" s="39"/>
      <c r="WBG365" s="34"/>
      <c r="WBH365" s="34"/>
      <c r="WBI365" s="34"/>
      <c r="WBJ365" s="35"/>
      <c r="WBK365" s="35"/>
      <c r="WBL365" s="35"/>
      <c r="WBM365" s="35"/>
      <c r="WBN365" s="35"/>
      <c r="WBO365" s="34"/>
      <c r="WBP365" s="34"/>
      <c r="WBQ365" s="36"/>
      <c r="WBR365" s="36"/>
      <c r="WBS365" s="37"/>
      <c r="WBT365" s="37"/>
      <c r="WBU365" s="38"/>
      <c r="WBV365" s="38"/>
      <c r="WBW365" s="39"/>
      <c r="WBX365" s="34"/>
      <c r="WBY365" s="34"/>
      <c r="WBZ365" s="34"/>
      <c r="WCA365" s="35"/>
      <c r="WCB365" s="35"/>
      <c r="WCC365" s="35"/>
      <c r="WCD365" s="35"/>
      <c r="WCE365" s="35"/>
      <c r="WCF365" s="34"/>
      <c r="WCG365" s="34"/>
      <c r="WCH365" s="36"/>
      <c r="WCI365" s="36"/>
      <c r="WCJ365" s="37"/>
      <c r="WCK365" s="37"/>
      <c r="WCL365" s="38"/>
      <c r="WCM365" s="38"/>
      <c r="WCN365" s="39"/>
      <c r="WCO365" s="34"/>
      <c r="WCP365" s="34"/>
      <c r="WCQ365" s="34"/>
      <c r="WCR365" s="35"/>
      <c r="WCS365" s="35"/>
      <c r="WCT365" s="35"/>
      <c r="WCU365" s="35"/>
      <c r="WCV365" s="35"/>
      <c r="WCW365" s="34"/>
      <c r="WCX365" s="34"/>
      <c r="WCY365" s="36"/>
      <c r="WCZ365" s="36"/>
      <c r="WDA365" s="37"/>
      <c r="WDB365" s="37"/>
      <c r="WDC365" s="38"/>
      <c r="WDD365" s="38"/>
      <c r="WDE365" s="39"/>
      <c r="WDF365" s="34"/>
      <c r="WDG365" s="34"/>
      <c r="WDH365" s="34"/>
      <c r="WDI365" s="35"/>
      <c r="WDJ365" s="35"/>
      <c r="WDK365" s="35"/>
      <c r="WDL365" s="35"/>
      <c r="WDM365" s="35"/>
      <c r="WDN365" s="34"/>
      <c r="WDO365" s="34"/>
      <c r="WDP365" s="36"/>
      <c r="WDQ365" s="36"/>
      <c r="WDR365" s="37"/>
      <c r="WDS365" s="37"/>
      <c r="WDT365" s="38"/>
      <c r="WDU365" s="38"/>
      <c r="WDV365" s="39"/>
      <c r="WDW365" s="34"/>
      <c r="WDX365" s="34"/>
      <c r="WDY365" s="34"/>
      <c r="WDZ365" s="35"/>
      <c r="WEA365" s="35"/>
      <c r="WEB365" s="35"/>
      <c r="WEC365" s="35"/>
      <c r="WED365" s="35"/>
      <c r="WEE365" s="34"/>
      <c r="WEF365" s="34"/>
      <c r="WEG365" s="36"/>
      <c r="WEH365" s="36"/>
      <c r="WEI365" s="37"/>
      <c r="WEJ365" s="37"/>
      <c r="WEK365" s="38"/>
      <c r="WEL365" s="38"/>
      <c r="WEM365" s="39"/>
      <c r="WEN365" s="34"/>
      <c r="WEO365" s="34"/>
      <c r="WEP365" s="34"/>
      <c r="WEQ365" s="35"/>
      <c r="WER365" s="35"/>
      <c r="WES365" s="35"/>
      <c r="WET365" s="35"/>
      <c r="WEU365" s="35"/>
      <c r="WEV365" s="34"/>
      <c r="WEW365" s="34"/>
      <c r="WEX365" s="36"/>
      <c r="WEY365" s="36"/>
      <c r="WEZ365" s="37"/>
      <c r="WFA365" s="37"/>
      <c r="WFB365" s="38"/>
      <c r="WFC365" s="38"/>
      <c r="WFD365" s="39"/>
      <c r="WFE365" s="34"/>
      <c r="WFF365" s="34"/>
      <c r="WFG365" s="34"/>
      <c r="WFH365" s="35"/>
      <c r="WFI365" s="35"/>
      <c r="WFJ365" s="35"/>
      <c r="WFK365" s="35"/>
      <c r="WFL365" s="35"/>
      <c r="WFM365" s="34"/>
      <c r="WFN365" s="34"/>
      <c r="WFO365" s="36"/>
      <c r="WFP365" s="36"/>
      <c r="WFQ365" s="37"/>
      <c r="WFR365" s="37"/>
      <c r="WFS365" s="38"/>
      <c r="WFT365" s="38"/>
      <c r="WFU365" s="39"/>
      <c r="WFV365" s="34"/>
      <c r="WFW365" s="34"/>
      <c r="WFX365" s="34"/>
      <c r="WFY365" s="35"/>
      <c r="WFZ365" s="35"/>
      <c r="WGA365" s="35"/>
      <c r="WGB365" s="35"/>
      <c r="WGC365" s="35"/>
      <c r="WGD365" s="34"/>
      <c r="WGE365" s="34"/>
      <c r="WGF365" s="36"/>
      <c r="WGG365" s="36"/>
      <c r="WGH365" s="37"/>
      <c r="WGI365" s="37"/>
      <c r="WGJ365" s="38"/>
      <c r="WGK365" s="38"/>
      <c r="WGL365" s="39"/>
      <c r="WGM365" s="34"/>
      <c r="WGN365" s="34"/>
      <c r="WGO365" s="34"/>
      <c r="WGP365" s="35"/>
      <c r="WGQ365" s="35"/>
      <c r="WGR365" s="35"/>
      <c r="WGS365" s="35"/>
      <c r="WGT365" s="35"/>
      <c r="WGU365" s="34"/>
      <c r="WGV365" s="34"/>
      <c r="WGW365" s="36"/>
      <c r="WGX365" s="36"/>
      <c r="WGY365" s="37"/>
      <c r="WGZ365" s="37"/>
      <c r="WHA365" s="38"/>
      <c r="WHB365" s="38"/>
      <c r="WHC365" s="39"/>
      <c r="WHD365" s="34"/>
      <c r="WHE365" s="34"/>
      <c r="WHF365" s="34"/>
      <c r="WHG365" s="35"/>
      <c r="WHH365" s="35"/>
      <c r="WHI365" s="35"/>
      <c r="WHJ365" s="35"/>
      <c r="WHK365" s="35"/>
      <c r="WHL365" s="34"/>
      <c r="WHM365" s="34"/>
      <c r="WHN365" s="36"/>
      <c r="WHO365" s="36"/>
      <c r="WHP365" s="37"/>
      <c r="WHQ365" s="37"/>
      <c r="WHR365" s="38"/>
      <c r="WHS365" s="38"/>
      <c r="WHT365" s="39"/>
      <c r="WHU365" s="34"/>
      <c r="WHV365" s="34"/>
      <c r="WHW365" s="34"/>
      <c r="WHX365" s="35"/>
      <c r="WHY365" s="35"/>
      <c r="WHZ365" s="35"/>
      <c r="WIA365" s="35"/>
      <c r="WIB365" s="35"/>
      <c r="WIC365" s="34"/>
      <c r="WID365" s="34"/>
      <c r="WIE365" s="36"/>
      <c r="WIF365" s="36"/>
      <c r="WIG365" s="37"/>
      <c r="WIH365" s="37"/>
      <c r="WII365" s="38"/>
      <c r="WIJ365" s="38"/>
      <c r="WIK365" s="39"/>
      <c r="WIL365" s="34"/>
      <c r="WIM365" s="34"/>
      <c r="WIN365" s="34"/>
      <c r="WIO365" s="35"/>
      <c r="WIP365" s="35"/>
      <c r="WIQ365" s="35"/>
      <c r="WIR365" s="35"/>
      <c r="WIS365" s="35"/>
      <c r="WIT365" s="34"/>
      <c r="WIU365" s="34"/>
      <c r="WIV365" s="36"/>
      <c r="WIW365" s="36"/>
      <c r="WIX365" s="37"/>
      <c r="WIY365" s="37"/>
      <c r="WIZ365" s="38"/>
      <c r="WJA365" s="38"/>
      <c r="WJB365" s="39"/>
      <c r="WJC365" s="34"/>
      <c r="WJD365" s="34"/>
      <c r="WJE365" s="34"/>
      <c r="WJF365" s="35"/>
      <c r="WJG365" s="35"/>
      <c r="WJH365" s="35"/>
      <c r="WJI365" s="35"/>
      <c r="WJJ365" s="35"/>
      <c r="WJK365" s="34"/>
      <c r="WJL365" s="34"/>
      <c r="WJM365" s="36"/>
      <c r="WJN365" s="36"/>
      <c r="WJO365" s="37"/>
      <c r="WJP365" s="37"/>
      <c r="WJQ365" s="38"/>
      <c r="WJR365" s="38"/>
      <c r="WJS365" s="39"/>
      <c r="WJT365" s="34"/>
      <c r="WJU365" s="34"/>
      <c r="WJV365" s="34"/>
      <c r="WJW365" s="35"/>
      <c r="WJX365" s="35"/>
      <c r="WJY365" s="35"/>
      <c r="WJZ365" s="35"/>
      <c r="WKA365" s="35"/>
      <c r="WKB365" s="34"/>
      <c r="WKC365" s="34"/>
      <c r="WKD365" s="36"/>
      <c r="WKE365" s="36"/>
      <c r="WKF365" s="37"/>
      <c r="WKG365" s="37"/>
      <c r="WKH365" s="38"/>
      <c r="WKI365" s="38"/>
      <c r="WKJ365" s="39"/>
      <c r="WKK365" s="34"/>
      <c r="WKL365" s="34"/>
      <c r="WKM365" s="34"/>
      <c r="WKN365" s="35"/>
      <c r="WKO365" s="35"/>
      <c r="WKP365" s="35"/>
      <c r="WKQ365" s="35"/>
      <c r="WKR365" s="35"/>
      <c r="WKS365" s="34"/>
      <c r="WKT365" s="34"/>
      <c r="WKU365" s="36"/>
      <c r="WKV365" s="36"/>
      <c r="WKW365" s="37"/>
      <c r="WKX365" s="37"/>
      <c r="WKY365" s="38"/>
      <c r="WKZ365" s="38"/>
      <c r="WLA365" s="39"/>
      <c r="WLB365" s="34"/>
      <c r="WLC365" s="34"/>
      <c r="WLD365" s="34"/>
      <c r="WLE365" s="35"/>
      <c r="WLF365" s="35"/>
      <c r="WLG365" s="35"/>
      <c r="WLH365" s="35"/>
      <c r="WLI365" s="35"/>
      <c r="WLJ365" s="34"/>
      <c r="WLK365" s="34"/>
      <c r="WLL365" s="36"/>
      <c r="WLM365" s="36"/>
      <c r="WLN365" s="37"/>
      <c r="WLO365" s="37"/>
      <c r="WLP365" s="38"/>
      <c r="WLQ365" s="38"/>
      <c r="WLR365" s="39"/>
      <c r="WLS365" s="34"/>
      <c r="WLT365" s="34"/>
      <c r="WLU365" s="34"/>
      <c r="WLV365" s="35"/>
      <c r="WLW365" s="35"/>
      <c r="WLX365" s="35"/>
      <c r="WLY365" s="35"/>
      <c r="WLZ365" s="35"/>
      <c r="WMA365" s="34"/>
      <c r="WMB365" s="34"/>
      <c r="WMC365" s="36"/>
      <c r="WMD365" s="36"/>
      <c r="WME365" s="37"/>
      <c r="WMF365" s="37"/>
      <c r="WMG365" s="38"/>
      <c r="WMH365" s="38"/>
      <c r="WMI365" s="39"/>
      <c r="WMJ365" s="34"/>
      <c r="WMK365" s="34"/>
      <c r="WML365" s="34"/>
      <c r="WMM365" s="35"/>
      <c r="WMN365" s="35"/>
      <c r="WMO365" s="35"/>
      <c r="WMP365" s="35"/>
      <c r="WMQ365" s="35"/>
      <c r="WMR365" s="34"/>
      <c r="WMS365" s="34"/>
      <c r="WMT365" s="36"/>
      <c r="WMU365" s="36"/>
      <c r="WMV365" s="37"/>
      <c r="WMW365" s="37"/>
      <c r="WMX365" s="38"/>
      <c r="WMY365" s="38"/>
      <c r="WMZ365" s="39"/>
      <c r="WNA365" s="34"/>
      <c r="WNB365" s="34"/>
      <c r="WNC365" s="34"/>
      <c r="WND365" s="35"/>
      <c r="WNE365" s="35"/>
      <c r="WNF365" s="35"/>
      <c r="WNG365" s="35"/>
      <c r="WNH365" s="35"/>
      <c r="WNI365" s="34"/>
      <c r="WNJ365" s="34"/>
      <c r="WNK365" s="36"/>
      <c r="WNL365" s="36"/>
      <c r="WNM365" s="37"/>
      <c r="WNN365" s="37"/>
      <c r="WNO365" s="38"/>
      <c r="WNP365" s="38"/>
      <c r="WNQ365" s="39"/>
      <c r="WNR365" s="34"/>
      <c r="WNS365" s="34"/>
      <c r="WNT365" s="34"/>
      <c r="WNU365" s="35"/>
      <c r="WNV365" s="35"/>
      <c r="WNW365" s="35"/>
      <c r="WNX365" s="35"/>
      <c r="WNY365" s="35"/>
      <c r="WNZ365" s="34"/>
      <c r="WOA365" s="34"/>
      <c r="WOB365" s="36"/>
      <c r="WOC365" s="36"/>
      <c r="WOD365" s="37"/>
      <c r="WOE365" s="37"/>
      <c r="WOF365" s="38"/>
      <c r="WOG365" s="38"/>
      <c r="WOH365" s="39"/>
      <c r="WOI365" s="34"/>
      <c r="WOJ365" s="34"/>
      <c r="WOK365" s="34"/>
      <c r="WOL365" s="35"/>
      <c r="WOM365" s="35"/>
      <c r="WON365" s="35"/>
      <c r="WOO365" s="35"/>
      <c r="WOP365" s="35"/>
      <c r="WOQ365" s="34"/>
      <c r="WOR365" s="34"/>
      <c r="WOS365" s="36"/>
      <c r="WOT365" s="36"/>
      <c r="WOU365" s="37"/>
      <c r="WOV365" s="37"/>
      <c r="WOW365" s="38"/>
      <c r="WOX365" s="38"/>
      <c r="WOY365" s="39"/>
      <c r="WOZ365" s="34"/>
      <c r="WPA365" s="34"/>
      <c r="WPB365" s="34"/>
      <c r="WPC365" s="35"/>
      <c r="WPD365" s="35"/>
      <c r="WPE365" s="35"/>
      <c r="WPF365" s="35"/>
      <c r="WPG365" s="35"/>
      <c r="WPH365" s="34"/>
      <c r="WPI365" s="34"/>
      <c r="WPJ365" s="36"/>
      <c r="WPK365" s="36"/>
      <c r="WPL365" s="37"/>
      <c r="WPM365" s="37"/>
      <c r="WPN365" s="38"/>
      <c r="WPO365" s="38"/>
      <c r="WPP365" s="39"/>
      <c r="WPQ365" s="34"/>
      <c r="WPR365" s="34"/>
      <c r="WPS365" s="34"/>
      <c r="WPT365" s="35"/>
      <c r="WPU365" s="35"/>
      <c r="WPV365" s="35"/>
      <c r="WPW365" s="35"/>
      <c r="WPX365" s="35"/>
      <c r="WPY365" s="34"/>
      <c r="WPZ365" s="34"/>
      <c r="WQA365" s="36"/>
      <c r="WQB365" s="36"/>
      <c r="WQC365" s="37"/>
      <c r="WQD365" s="37"/>
      <c r="WQE365" s="38"/>
      <c r="WQF365" s="38"/>
      <c r="WQG365" s="39"/>
      <c r="WQH365" s="34"/>
      <c r="WQI365" s="34"/>
      <c r="WQJ365" s="34"/>
      <c r="WQK365" s="35"/>
      <c r="WQL365" s="35"/>
      <c r="WQM365" s="35"/>
      <c r="WQN365" s="35"/>
      <c r="WQO365" s="35"/>
      <c r="WQP365" s="34"/>
      <c r="WQQ365" s="34"/>
      <c r="WQR365" s="36"/>
      <c r="WQS365" s="36"/>
      <c r="WQT365" s="37"/>
      <c r="WQU365" s="37"/>
      <c r="WQV365" s="38"/>
      <c r="WQW365" s="38"/>
      <c r="WQX365" s="39"/>
      <c r="WQY365" s="34"/>
      <c r="WQZ365" s="34"/>
      <c r="WRA365" s="34"/>
      <c r="WRB365" s="35"/>
      <c r="WRC365" s="35"/>
      <c r="WRD365" s="35"/>
      <c r="WRE365" s="35"/>
      <c r="WRF365" s="35"/>
      <c r="WRG365" s="34"/>
      <c r="WRH365" s="34"/>
      <c r="WRI365" s="36"/>
      <c r="WRJ365" s="36"/>
      <c r="WRK365" s="37"/>
      <c r="WRL365" s="37"/>
      <c r="WRM365" s="38"/>
      <c r="WRN365" s="38"/>
      <c r="WRO365" s="39"/>
      <c r="WRP365" s="34"/>
      <c r="WRQ365" s="34"/>
      <c r="WRR365" s="34"/>
      <c r="WRS365" s="35"/>
      <c r="WRT365" s="35"/>
      <c r="WRU365" s="35"/>
      <c r="WRV365" s="35"/>
      <c r="WRW365" s="35"/>
      <c r="WRX365" s="34"/>
      <c r="WRY365" s="34"/>
      <c r="WRZ365" s="36"/>
      <c r="WSA365" s="36"/>
      <c r="WSB365" s="37"/>
      <c r="WSC365" s="37"/>
      <c r="WSD365" s="38"/>
      <c r="WSE365" s="38"/>
      <c r="WSF365" s="39"/>
      <c r="WSG365" s="34"/>
      <c r="WSH365" s="34"/>
      <c r="WSI365" s="34"/>
      <c r="WSJ365" s="35"/>
      <c r="WSK365" s="35"/>
      <c r="WSL365" s="35"/>
      <c r="WSM365" s="35"/>
      <c r="WSN365" s="35"/>
      <c r="WSO365" s="34"/>
      <c r="WSP365" s="34"/>
      <c r="WSQ365" s="36"/>
      <c r="WSR365" s="36"/>
      <c r="WSS365" s="37"/>
      <c r="WST365" s="37"/>
      <c r="WSU365" s="38"/>
      <c r="WSV365" s="38"/>
      <c r="WSW365" s="39"/>
      <c r="WSX365" s="34"/>
      <c r="WSY365" s="34"/>
      <c r="WSZ365" s="34"/>
      <c r="WTA365" s="35"/>
      <c r="WTB365" s="35"/>
      <c r="WTC365" s="35"/>
      <c r="WTD365" s="35"/>
      <c r="WTE365" s="35"/>
      <c r="WTF365" s="34"/>
      <c r="WTG365" s="34"/>
      <c r="WTH365" s="36"/>
      <c r="WTI365" s="36"/>
      <c r="WTJ365" s="37"/>
      <c r="WTK365" s="37"/>
      <c r="WTL365" s="38"/>
      <c r="WTM365" s="38"/>
      <c r="WTN365" s="39"/>
      <c r="WTO365" s="34"/>
      <c r="WTP365" s="34"/>
      <c r="WTQ365" s="34"/>
      <c r="WTR365" s="35"/>
      <c r="WTS365" s="35"/>
      <c r="WTT365" s="35"/>
      <c r="WTU365" s="35"/>
      <c r="WTV365" s="35"/>
      <c r="WTW365" s="34"/>
      <c r="WTX365" s="34"/>
      <c r="WTY365" s="36"/>
      <c r="WTZ365" s="36"/>
      <c r="WUA365" s="37"/>
      <c r="WUB365" s="37"/>
      <c r="WUC365" s="38"/>
      <c r="WUD365" s="38"/>
      <c r="WUE365" s="39"/>
      <c r="WUF365" s="34"/>
      <c r="WUG365" s="34"/>
      <c r="WUH365" s="34"/>
      <c r="WUI365" s="35"/>
      <c r="WUJ365" s="35"/>
      <c r="WUK365" s="35"/>
      <c r="WUL365" s="35"/>
      <c r="WUM365" s="35"/>
      <c r="WUN365" s="34"/>
      <c r="WUO365" s="34"/>
      <c r="WUP365" s="36"/>
      <c r="WUQ365" s="36"/>
      <c r="WUR365" s="37"/>
      <c r="WUS365" s="37"/>
      <c r="WUT365" s="38"/>
      <c r="WUU365" s="38"/>
      <c r="WUV365" s="39"/>
      <c r="WUW365" s="34"/>
      <c r="WUX365" s="34"/>
      <c r="WUY365" s="34"/>
      <c r="WUZ365" s="35"/>
      <c r="WVA365" s="35"/>
      <c r="WVB365" s="35"/>
      <c r="WVC365" s="35"/>
      <c r="WVD365" s="35"/>
      <c r="WVE365" s="34"/>
      <c r="WVF365" s="34"/>
      <c r="WVG365" s="36"/>
      <c r="WVH365" s="36"/>
      <c r="WVI365" s="37"/>
      <c r="WVJ365" s="37"/>
      <c r="WVK365" s="38"/>
      <c r="WVL365" s="38"/>
      <c r="WVM365" s="39"/>
      <c r="WVN365" s="34"/>
      <c r="WVO365" s="34"/>
      <c r="WVP365" s="34"/>
      <c r="WVQ365" s="35"/>
      <c r="WVR365" s="35"/>
      <c r="WVS365" s="35"/>
      <c r="WVT365" s="35"/>
      <c r="WVU365" s="35"/>
      <c r="WVV365" s="34"/>
      <c r="WVW365" s="34"/>
      <c r="WVX365" s="36"/>
      <c r="WVY365" s="36"/>
      <c r="WVZ365" s="37"/>
      <c r="WWA365" s="37"/>
      <c r="WWB365" s="38"/>
      <c r="WWC365" s="38"/>
      <c r="WWD365" s="39"/>
      <c r="WWE365" s="34"/>
      <c r="WWF365" s="34"/>
      <c r="WWG365" s="34"/>
      <c r="WWH365" s="35"/>
      <c r="WWI365" s="35"/>
      <c r="WWJ365" s="35"/>
      <c r="WWK365" s="35"/>
      <c r="WWL365" s="35"/>
      <c r="WWM365" s="34"/>
      <c r="WWN365" s="34"/>
      <c r="WWO365" s="36"/>
      <c r="WWP365" s="36"/>
      <c r="WWQ365" s="37"/>
      <c r="WWR365" s="37"/>
      <c r="WWS365" s="38"/>
      <c r="WWT365" s="38"/>
      <c r="WWU365" s="39"/>
      <c r="WWV365" s="34"/>
      <c r="WWW365" s="34"/>
      <c r="WWX365" s="34"/>
      <c r="WWY365" s="35"/>
      <c r="WWZ365" s="35"/>
      <c r="WXA365" s="35"/>
      <c r="WXB365" s="35"/>
      <c r="WXC365" s="35"/>
      <c r="WXD365" s="34"/>
      <c r="WXE365" s="34"/>
      <c r="WXF365" s="36"/>
      <c r="WXG365" s="36"/>
      <c r="WXH365" s="37"/>
      <c r="WXI365" s="37"/>
      <c r="WXJ365" s="38"/>
      <c r="WXK365" s="38"/>
      <c r="WXL365" s="39"/>
      <c r="WXM365" s="34"/>
      <c r="WXN365" s="34"/>
      <c r="WXO365" s="34"/>
      <c r="WXP365" s="35"/>
      <c r="WXQ365" s="35"/>
      <c r="WXR365" s="35"/>
      <c r="WXS365" s="35"/>
      <c r="WXT365" s="35"/>
      <c r="WXU365" s="34"/>
      <c r="WXV365" s="34"/>
      <c r="WXW365" s="36"/>
      <c r="WXX365" s="36"/>
      <c r="WXY365" s="37"/>
      <c r="WXZ365" s="37"/>
      <c r="WYA365" s="38"/>
      <c r="WYB365" s="38"/>
      <c r="WYC365" s="39"/>
      <c r="WYD365" s="34"/>
      <c r="WYE365" s="34"/>
      <c r="WYF365" s="34"/>
      <c r="WYG365" s="35"/>
      <c r="WYH365" s="35"/>
      <c r="WYI365" s="35"/>
      <c r="WYJ365" s="35"/>
      <c r="WYK365" s="35"/>
      <c r="WYL365" s="34"/>
      <c r="WYM365" s="34"/>
      <c r="WYN365" s="36"/>
      <c r="WYO365" s="36"/>
      <c r="WYP365" s="37"/>
      <c r="WYQ365" s="37"/>
      <c r="WYR365" s="38"/>
      <c r="WYS365" s="38"/>
      <c r="WYT365" s="39"/>
      <c r="WYU365" s="34"/>
      <c r="WYV365" s="34"/>
      <c r="WYW365" s="34"/>
      <c r="WYX365" s="35"/>
      <c r="WYY365" s="35"/>
      <c r="WYZ365" s="35"/>
      <c r="WZA365" s="35"/>
      <c r="WZB365" s="35"/>
      <c r="WZC365" s="34"/>
      <c r="WZD365" s="34"/>
      <c r="WZE365" s="36"/>
      <c r="WZF365" s="36"/>
      <c r="WZG365" s="37"/>
      <c r="WZH365" s="37"/>
      <c r="WZI365" s="38"/>
      <c r="WZJ365" s="38"/>
      <c r="WZK365" s="39"/>
      <c r="WZL365" s="34"/>
      <c r="WZM365" s="34"/>
      <c r="WZN365" s="34"/>
      <c r="WZO365" s="35"/>
      <c r="WZP365" s="35"/>
      <c r="WZQ365" s="35"/>
      <c r="WZR365" s="35"/>
      <c r="WZS365" s="35"/>
      <c r="WZT365" s="34"/>
      <c r="WZU365" s="34"/>
      <c r="WZV365" s="36"/>
      <c r="WZW365" s="36"/>
      <c r="WZX365" s="37"/>
      <c r="WZY365" s="37"/>
      <c r="WZZ365" s="38"/>
      <c r="XAA365" s="38"/>
      <c r="XAB365" s="39"/>
      <c r="XAC365" s="34"/>
      <c r="XAD365" s="34"/>
      <c r="XAE365" s="34"/>
      <c r="XAF365" s="35"/>
      <c r="XAG365" s="35"/>
      <c r="XAH365" s="35"/>
      <c r="XAI365" s="35"/>
      <c r="XAJ365" s="35"/>
      <c r="XAK365" s="34"/>
      <c r="XAL365" s="34"/>
      <c r="XAM365" s="36"/>
      <c r="XAN365" s="36"/>
      <c r="XAO365" s="37"/>
      <c r="XAP365" s="37"/>
      <c r="XAQ365" s="38"/>
      <c r="XAR365" s="38"/>
      <c r="XAS365" s="39"/>
      <c r="XAT365" s="34"/>
      <c r="XAU365" s="34"/>
      <c r="XAV365" s="34"/>
      <c r="XAW365" s="35"/>
      <c r="XAX365" s="35"/>
      <c r="XAY365" s="35"/>
      <c r="XAZ365" s="35"/>
      <c r="XBA365" s="35"/>
      <c r="XBB365" s="34"/>
      <c r="XBC365" s="34"/>
      <c r="XBD365" s="36"/>
      <c r="XBE365" s="36"/>
      <c r="XBF365" s="37"/>
      <c r="XBG365" s="37"/>
      <c r="XBH365" s="38"/>
      <c r="XBI365" s="38"/>
      <c r="XBJ365" s="39"/>
      <c r="XBK365" s="34"/>
      <c r="XBL365" s="34"/>
      <c r="XBM365" s="34"/>
      <c r="XBN365" s="35"/>
      <c r="XBO365" s="35"/>
      <c r="XBP365" s="35"/>
      <c r="XBQ365" s="35"/>
      <c r="XBR365" s="35"/>
      <c r="XBS365" s="34"/>
      <c r="XBT365" s="34"/>
      <c r="XBU365" s="36"/>
      <c r="XBV365" s="36"/>
      <c r="XBW365" s="37"/>
      <c r="XBX365" s="37"/>
      <c r="XBY365" s="38"/>
      <c r="XBZ365" s="38"/>
      <c r="XCA365" s="39"/>
      <c r="XCB365" s="34"/>
      <c r="XCC365" s="34"/>
      <c r="XCD365" s="34"/>
      <c r="XCE365" s="35"/>
      <c r="XCF365" s="35"/>
      <c r="XCG365" s="35"/>
      <c r="XCH365" s="35"/>
      <c r="XCI365" s="35"/>
      <c r="XCJ365" s="34"/>
      <c r="XCK365" s="34"/>
      <c r="XCL365" s="36"/>
      <c r="XCM365" s="36"/>
      <c r="XCN365" s="37"/>
      <c r="XCO365" s="37"/>
      <c r="XCP365" s="38"/>
      <c r="XCQ365" s="38"/>
      <c r="XCR365" s="39"/>
      <c r="XCS365" s="34"/>
      <c r="XCT365" s="34"/>
      <c r="XCU365" s="34"/>
      <c r="XCV365" s="35"/>
      <c r="XCW365" s="35"/>
      <c r="XCX365" s="35"/>
      <c r="XCY365" s="35"/>
      <c r="XCZ365" s="35"/>
      <c r="XDA365" s="34"/>
      <c r="XDB365" s="34"/>
      <c r="XDC365" s="36"/>
      <c r="XDD365" s="36"/>
      <c r="XDE365" s="37"/>
      <c r="XDF365" s="37"/>
      <c r="XDG365" s="38"/>
      <c r="XDH365" s="38"/>
      <c r="XDI365" s="39"/>
      <c r="XDJ365" s="34"/>
      <c r="XDK365" s="34"/>
      <c r="XDL365" s="34"/>
      <c r="XDM365" s="35"/>
      <c r="XDN365" s="35"/>
      <c r="XDO365" s="35"/>
      <c r="XDP365" s="35"/>
      <c r="XDQ365" s="35"/>
      <c r="XDR365" s="34"/>
      <c r="XDS365" s="34"/>
      <c r="XDT365" s="36"/>
      <c r="XDU365" s="36"/>
      <c r="XDV365" s="37"/>
      <c r="XDW365" s="37"/>
      <c r="XDX365" s="38"/>
      <c r="XDY365" s="38"/>
      <c r="XDZ365" s="39"/>
      <c r="XEA365" s="34"/>
      <c r="XEB365" s="34"/>
      <c r="XEC365" s="34"/>
      <c r="XED365" s="35"/>
      <c r="XEE365" s="35"/>
      <c r="XEF365" s="35"/>
      <c r="XEG365" s="35"/>
      <c r="XEH365" s="35"/>
      <c r="XEI365" s="34"/>
      <c r="XEJ365" s="34"/>
      <c r="XEK365" s="36"/>
      <c r="XEL365" s="36"/>
      <c r="XEM365" s="37"/>
      <c r="XEN365" s="37"/>
      <c r="XEO365" s="38"/>
      <c r="XEP365" s="38"/>
      <c r="XEQ365" s="39"/>
      <c r="XER365" s="34"/>
      <c r="XES365" s="34"/>
      <c r="XET365" s="34"/>
      <c r="XEU365" s="35"/>
      <c r="XEV365" s="35"/>
      <c r="XEW365" s="35"/>
      <c r="XEX365" s="35"/>
      <c r="XEY365" s="35"/>
      <c r="XEZ365" s="34"/>
      <c r="XFA365" s="34"/>
      <c r="XFB365" s="36"/>
      <c r="XFC365" s="36"/>
      <c r="XFD365" s="37"/>
    </row>
    <row r="366" spans="1:16384" s="2" customFormat="1" ht="14.25" customHeight="1" x14ac:dyDescent="0.25">
      <c r="A366" s="47">
        <v>1</v>
      </c>
      <c r="B366" s="47">
        <v>2</v>
      </c>
      <c r="C366" s="47">
        <v>5</v>
      </c>
      <c r="D366" s="48" t="s">
        <v>779</v>
      </c>
      <c r="E366" s="48" t="s">
        <v>776</v>
      </c>
      <c r="F366" s="48" t="s">
        <v>1010</v>
      </c>
      <c r="G366" s="48" t="s">
        <v>191</v>
      </c>
      <c r="H366" s="48" t="s">
        <v>355</v>
      </c>
      <c r="I366" s="47" t="s">
        <v>1011</v>
      </c>
      <c r="J366" s="47">
        <v>99</v>
      </c>
      <c r="K366" s="49" t="s">
        <v>716</v>
      </c>
      <c r="L366" s="49" t="s">
        <v>698</v>
      </c>
      <c r="M366" s="50" t="s">
        <v>1433</v>
      </c>
      <c r="N366" s="50" t="s">
        <v>1742</v>
      </c>
      <c r="O366" s="51"/>
      <c r="P366" s="51"/>
      <c r="Q366" s="48"/>
      <c r="R366" s="1"/>
      <c r="S366" s="1">
        <f t="shared" si="136"/>
        <v>0</v>
      </c>
      <c r="T366" s="1">
        <f t="shared" si="137"/>
        <v>0</v>
      </c>
      <c r="U366" s="1">
        <f t="shared" si="138"/>
        <v>0</v>
      </c>
      <c r="V366" s="1">
        <f t="shared" si="139"/>
        <v>0</v>
      </c>
      <c r="W366" s="1">
        <f t="shared" si="140"/>
        <v>0</v>
      </c>
      <c r="X366" s="1">
        <f t="shared" si="141"/>
        <v>0</v>
      </c>
      <c r="Y366" s="1">
        <f t="shared" si="142"/>
        <v>0</v>
      </c>
      <c r="Z366" s="1">
        <f t="shared" si="143"/>
        <v>0</v>
      </c>
      <c r="AA366" s="1">
        <f t="shared" si="144"/>
        <v>0</v>
      </c>
      <c r="AB366" s="1">
        <f t="shared" si="145"/>
        <v>0</v>
      </c>
      <c r="AC366" s="1"/>
      <c r="AD366" s="1">
        <f t="shared" si="146"/>
        <v>0</v>
      </c>
      <c r="AE366" s="1">
        <f t="shared" si="147"/>
        <v>0</v>
      </c>
      <c r="AF366" s="1">
        <f t="shared" si="132"/>
        <v>0</v>
      </c>
      <c r="AG366" s="1">
        <f t="shared" si="133"/>
        <v>0</v>
      </c>
      <c r="AH366" s="1">
        <f t="shared" si="134"/>
        <v>0</v>
      </c>
      <c r="AI366" s="1">
        <f t="shared" si="135"/>
        <v>0</v>
      </c>
      <c r="AJ366" s="1"/>
    </row>
    <row r="367" spans="1:16384" s="2" customFormat="1" ht="14.25" customHeight="1" x14ac:dyDescent="0.25">
      <c r="A367" s="15">
        <v>0</v>
      </c>
      <c r="B367" s="15">
        <v>2</v>
      </c>
      <c r="C367" s="15">
        <v>5</v>
      </c>
      <c r="D367" s="16" t="s">
        <v>920</v>
      </c>
      <c r="E367" s="16" t="s">
        <v>915</v>
      </c>
      <c r="F367" s="16" t="s">
        <v>933</v>
      </c>
      <c r="G367" s="16" t="s">
        <v>1357</v>
      </c>
      <c r="H367" s="16" t="s">
        <v>355</v>
      </c>
      <c r="I367" s="15" t="s">
        <v>774</v>
      </c>
      <c r="J367" s="15">
        <v>99</v>
      </c>
      <c r="K367" s="10" t="s">
        <v>707</v>
      </c>
      <c r="L367" s="10">
        <v>20</v>
      </c>
      <c r="M367" s="19" t="s">
        <v>1434</v>
      </c>
      <c r="N367" s="19"/>
      <c r="O367" s="1"/>
      <c r="P367" s="1"/>
      <c r="Q367" s="16"/>
      <c r="R367" s="1"/>
      <c r="S367" s="1">
        <f t="shared" si="136"/>
        <v>0</v>
      </c>
      <c r="T367" s="1">
        <f t="shared" si="137"/>
        <v>0</v>
      </c>
      <c r="U367" s="1">
        <f t="shared" si="138"/>
        <v>0</v>
      </c>
      <c r="V367" s="1">
        <f t="shared" si="139"/>
        <v>0</v>
      </c>
      <c r="W367" s="1">
        <f t="shared" si="140"/>
        <v>0</v>
      </c>
      <c r="X367" s="1">
        <f t="shared" si="141"/>
        <v>0</v>
      </c>
      <c r="Y367" s="1">
        <f t="shared" si="142"/>
        <v>0</v>
      </c>
      <c r="Z367" s="1">
        <f t="shared" si="143"/>
        <v>0</v>
      </c>
      <c r="AA367" s="1">
        <f t="shared" si="144"/>
        <v>0</v>
      </c>
      <c r="AB367" s="1">
        <f t="shared" si="145"/>
        <v>0</v>
      </c>
      <c r="AC367" s="1"/>
      <c r="AD367" s="1">
        <f t="shared" si="146"/>
        <v>0</v>
      </c>
      <c r="AE367" s="1">
        <f t="shared" si="147"/>
        <v>0</v>
      </c>
      <c r="AF367" s="1">
        <f t="shared" si="132"/>
        <v>0</v>
      </c>
      <c r="AG367" s="1">
        <f t="shared" si="133"/>
        <v>0</v>
      </c>
      <c r="AH367" s="1">
        <f t="shared" si="134"/>
        <v>0</v>
      </c>
      <c r="AI367" s="1">
        <f t="shared" si="135"/>
        <v>1</v>
      </c>
      <c r="AJ367" s="1"/>
    </row>
    <row r="368" spans="1:16384" s="2" customFormat="1" ht="14.25" customHeight="1" x14ac:dyDescent="0.25">
      <c r="A368" s="52">
        <v>0</v>
      </c>
      <c r="B368" s="52">
        <v>2</v>
      </c>
      <c r="C368" s="52">
        <v>5</v>
      </c>
      <c r="D368" s="58" t="s">
        <v>1797</v>
      </c>
      <c r="E368" s="53" t="s">
        <v>168</v>
      </c>
      <c r="F368" s="53" t="s">
        <v>1775</v>
      </c>
      <c r="G368" s="53"/>
      <c r="H368" s="53" t="s">
        <v>355</v>
      </c>
      <c r="I368" s="52" t="s">
        <v>1776</v>
      </c>
      <c r="J368" s="52"/>
      <c r="K368" s="54" t="s">
        <v>707</v>
      </c>
      <c r="L368" s="54">
        <v>30</v>
      </c>
      <c r="M368" s="55" t="s">
        <v>1777</v>
      </c>
      <c r="N368" s="55" t="s">
        <v>1755</v>
      </c>
      <c r="O368" s="56">
        <v>1</v>
      </c>
      <c r="P368" s="56"/>
      <c r="Q368" s="53"/>
      <c r="R368" s="1"/>
      <c r="S368" s="1">
        <f t="shared" si="136"/>
        <v>0</v>
      </c>
      <c r="T368" s="1">
        <f t="shared" si="137"/>
        <v>0</v>
      </c>
      <c r="U368" s="1">
        <f t="shared" si="138"/>
        <v>0</v>
      </c>
      <c r="V368" s="1">
        <f t="shared" si="139"/>
        <v>0</v>
      </c>
      <c r="W368" s="1">
        <f t="shared" si="140"/>
        <v>0</v>
      </c>
      <c r="X368" s="1">
        <f t="shared" si="141"/>
        <v>0</v>
      </c>
      <c r="Y368" s="1">
        <f t="shared" si="142"/>
        <v>0</v>
      </c>
      <c r="Z368" s="1">
        <f t="shared" si="143"/>
        <v>0</v>
      </c>
      <c r="AA368" s="1">
        <f t="shared" si="144"/>
        <v>0</v>
      </c>
      <c r="AB368" s="1">
        <f t="shared" si="145"/>
        <v>0</v>
      </c>
      <c r="AC368" s="1"/>
      <c r="AD368" s="1">
        <f t="shared" si="146"/>
        <v>0</v>
      </c>
      <c r="AE368" s="1">
        <f t="shared" si="147"/>
        <v>1</v>
      </c>
      <c r="AF368" s="1">
        <f t="shared" si="132"/>
        <v>0</v>
      </c>
      <c r="AG368" s="1">
        <f t="shared" si="133"/>
        <v>1</v>
      </c>
      <c r="AH368" s="1">
        <f t="shared" si="134"/>
        <v>0</v>
      </c>
      <c r="AI368" s="1">
        <f t="shared" si="135"/>
        <v>1</v>
      </c>
      <c r="AJ368" s="1"/>
    </row>
    <row r="369" spans="1:35" ht="14.25" customHeight="1" x14ac:dyDescent="0.25">
      <c r="A369" s="34"/>
      <c r="B369" s="34">
        <v>2</v>
      </c>
      <c r="C369" s="34">
        <v>5</v>
      </c>
      <c r="D369" s="35" t="s">
        <v>1928</v>
      </c>
      <c r="E369" s="35"/>
      <c r="F369" s="35" t="s">
        <v>1929</v>
      </c>
      <c r="G369" s="35" t="s">
        <v>209</v>
      </c>
      <c r="H369" s="35" t="s">
        <v>355</v>
      </c>
      <c r="I369" s="34" t="s">
        <v>1930</v>
      </c>
      <c r="J369" s="34">
        <v>3</v>
      </c>
      <c r="K369" s="36" t="s">
        <v>707</v>
      </c>
      <c r="L369" s="36"/>
      <c r="M369" s="37"/>
      <c r="N369" s="37" t="s">
        <v>1734</v>
      </c>
      <c r="O369" s="38">
        <v>1</v>
      </c>
      <c r="P369" s="38">
        <v>1</v>
      </c>
      <c r="Q369" s="35" t="s">
        <v>1931</v>
      </c>
      <c r="S369" s="1">
        <f t="shared" si="136"/>
        <v>0</v>
      </c>
      <c r="T369" s="1">
        <f t="shared" si="137"/>
        <v>0</v>
      </c>
      <c r="U369" s="1">
        <f t="shared" si="138"/>
        <v>1</v>
      </c>
      <c r="V369" s="1">
        <f t="shared" si="139"/>
        <v>0</v>
      </c>
      <c r="W369" s="1">
        <f t="shared" si="140"/>
        <v>0</v>
      </c>
      <c r="X369" s="1">
        <f t="shared" si="141"/>
        <v>0</v>
      </c>
      <c r="Y369" s="1">
        <f t="shared" si="142"/>
        <v>0</v>
      </c>
      <c r="Z369" s="1">
        <f t="shared" si="143"/>
        <v>0</v>
      </c>
      <c r="AA369" s="1">
        <f t="shared" si="144"/>
        <v>0</v>
      </c>
      <c r="AB369" s="1">
        <f t="shared" si="145"/>
        <v>0</v>
      </c>
      <c r="AD369" s="1">
        <f t="shared" si="146"/>
        <v>1</v>
      </c>
      <c r="AE369" s="1">
        <f t="shared" si="147"/>
        <v>0</v>
      </c>
      <c r="AF369" s="1">
        <f t="shared" si="132"/>
        <v>1</v>
      </c>
      <c r="AG369" s="1">
        <f t="shared" si="133"/>
        <v>0</v>
      </c>
      <c r="AH369" s="1">
        <f t="shared" si="134"/>
        <v>1</v>
      </c>
      <c r="AI369" s="1">
        <f t="shared" si="135"/>
        <v>0</v>
      </c>
    </row>
    <row r="370" spans="1:35" ht="14.25" customHeight="1" x14ac:dyDescent="0.25">
      <c r="A370" s="34">
        <v>0</v>
      </c>
      <c r="B370" s="34">
        <v>2</v>
      </c>
      <c r="C370" s="34">
        <v>5</v>
      </c>
      <c r="D370" s="35" t="s">
        <v>1277</v>
      </c>
      <c r="E370" s="35" t="s">
        <v>1278</v>
      </c>
      <c r="F370" s="35" t="s">
        <v>1279</v>
      </c>
      <c r="G370" s="35" t="s">
        <v>221</v>
      </c>
      <c r="H370" s="35" t="s">
        <v>355</v>
      </c>
      <c r="I370" s="34" t="s">
        <v>1730</v>
      </c>
      <c r="J370" s="34">
        <v>8</v>
      </c>
      <c r="K370" s="36" t="s">
        <v>717</v>
      </c>
      <c r="L370" s="36" t="s">
        <v>39</v>
      </c>
      <c r="M370" s="37" t="s">
        <v>39</v>
      </c>
      <c r="N370" s="37" t="s">
        <v>1734</v>
      </c>
      <c r="O370" s="38">
        <v>1</v>
      </c>
      <c r="P370" s="38">
        <v>1</v>
      </c>
      <c r="Q370" s="35"/>
      <c r="S370" s="1">
        <f t="shared" si="136"/>
        <v>0</v>
      </c>
      <c r="T370" s="1">
        <f t="shared" si="137"/>
        <v>0</v>
      </c>
      <c r="U370" s="1">
        <f t="shared" si="138"/>
        <v>0</v>
      </c>
      <c r="V370" s="1">
        <f t="shared" si="139"/>
        <v>0</v>
      </c>
      <c r="W370" s="1">
        <f t="shared" si="140"/>
        <v>0</v>
      </c>
      <c r="X370" s="1">
        <f t="shared" si="141"/>
        <v>0</v>
      </c>
      <c r="Y370" s="1">
        <f t="shared" si="142"/>
        <v>0</v>
      </c>
      <c r="Z370" s="1">
        <f t="shared" si="143"/>
        <v>1</v>
      </c>
      <c r="AA370" s="1">
        <f t="shared" si="144"/>
        <v>0</v>
      </c>
      <c r="AB370" s="1">
        <f t="shared" si="145"/>
        <v>0</v>
      </c>
      <c r="AD370" s="1">
        <f t="shared" si="146"/>
        <v>1</v>
      </c>
      <c r="AE370" s="1">
        <f t="shared" si="147"/>
        <v>0</v>
      </c>
      <c r="AF370" s="1">
        <f t="shared" si="132"/>
        <v>1</v>
      </c>
      <c r="AG370" s="1">
        <f t="shared" si="133"/>
        <v>0</v>
      </c>
      <c r="AH370" s="1">
        <f t="shared" si="134"/>
        <v>1</v>
      </c>
      <c r="AI370" s="1">
        <f t="shared" si="135"/>
        <v>0</v>
      </c>
    </row>
    <row r="371" spans="1:35" ht="14.25" customHeight="1" x14ac:dyDescent="0.25">
      <c r="A371" s="34">
        <v>0</v>
      </c>
      <c r="B371" s="34">
        <v>2</v>
      </c>
      <c r="C371" s="34">
        <v>5</v>
      </c>
      <c r="D371" s="35" t="s">
        <v>1086</v>
      </c>
      <c r="E371" s="35" t="s">
        <v>156</v>
      </c>
      <c r="F371" s="35" t="s">
        <v>1070</v>
      </c>
      <c r="G371" s="35" t="s">
        <v>322</v>
      </c>
      <c r="H371" s="35" t="s">
        <v>355</v>
      </c>
      <c r="I371" s="34" t="s">
        <v>1071</v>
      </c>
      <c r="J371" s="34">
        <v>99</v>
      </c>
      <c r="K371" s="36" t="s">
        <v>717</v>
      </c>
      <c r="L371" s="36" t="s">
        <v>698</v>
      </c>
      <c r="M371" s="37" t="s">
        <v>1435</v>
      </c>
      <c r="N371" s="37" t="s">
        <v>1763</v>
      </c>
      <c r="O371" s="38">
        <v>1</v>
      </c>
      <c r="P371" s="38"/>
      <c r="Q371" s="35"/>
      <c r="S371" s="1">
        <f t="shared" si="136"/>
        <v>0</v>
      </c>
      <c r="T371" s="1">
        <f t="shared" si="137"/>
        <v>0</v>
      </c>
      <c r="U371" s="1">
        <f t="shared" si="138"/>
        <v>0</v>
      </c>
      <c r="V371" s="1">
        <f t="shared" si="139"/>
        <v>0</v>
      </c>
      <c r="W371" s="1">
        <f t="shared" si="140"/>
        <v>0</v>
      </c>
      <c r="X371" s="1">
        <f t="shared" si="141"/>
        <v>0</v>
      </c>
      <c r="Y371" s="1">
        <f t="shared" si="142"/>
        <v>0</v>
      </c>
      <c r="Z371" s="1">
        <f t="shared" si="143"/>
        <v>0</v>
      </c>
      <c r="AA371" s="1">
        <f t="shared" si="144"/>
        <v>0</v>
      </c>
      <c r="AB371" s="1">
        <f t="shared" si="145"/>
        <v>0</v>
      </c>
      <c r="AD371" s="1">
        <f t="shared" si="146"/>
        <v>0</v>
      </c>
      <c r="AE371" s="1">
        <f t="shared" si="147"/>
        <v>1</v>
      </c>
      <c r="AF371" s="1">
        <f t="shared" si="132"/>
        <v>0</v>
      </c>
      <c r="AG371" s="1">
        <f t="shared" si="133"/>
        <v>1</v>
      </c>
      <c r="AH371" s="1">
        <f t="shared" si="134"/>
        <v>0</v>
      </c>
      <c r="AI371" s="1">
        <f t="shared" si="135"/>
        <v>1</v>
      </c>
    </row>
    <row r="372" spans="1:35" ht="14.25" customHeight="1" x14ac:dyDescent="0.25">
      <c r="A372" s="34">
        <v>0</v>
      </c>
      <c r="B372" s="34">
        <v>2</v>
      </c>
      <c r="C372" s="34">
        <v>5</v>
      </c>
      <c r="D372" s="35" t="s">
        <v>800</v>
      </c>
      <c r="E372" s="35" t="s">
        <v>776</v>
      </c>
      <c r="F372" s="35" t="s">
        <v>936</v>
      </c>
      <c r="G372" s="35" t="s">
        <v>221</v>
      </c>
      <c r="H372" s="35" t="s">
        <v>355</v>
      </c>
      <c r="I372" s="34" t="s">
        <v>801</v>
      </c>
      <c r="J372" s="34">
        <v>8</v>
      </c>
      <c r="K372" s="36" t="s">
        <v>707</v>
      </c>
      <c r="L372" s="36">
        <v>20</v>
      </c>
      <c r="M372" s="37" t="s">
        <v>1426</v>
      </c>
      <c r="N372" s="37" t="s">
        <v>1832</v>
      </c>
      <c r="O372" s="38">
        <v>1</v>
      </c>
      <c r="P372" s="38"/>
      <c r="Q372" s="35"/>
      <c r="S372" s="1">
        <f t="shared" ref="S372:S374" si="154">IF(J372=$S$7,1,0)</f>
        <v>0</v>
      </c>
      <c r="T372" s="1">
        <f t="shared" ref="T372:T374" si="155">IF(J372=$T$7,1,0)</f>
        <v>0</v>
      </c>
      <c r="U372" s="1">
        <f t="shared" ref="U372:U374" si="156">IF(J372=$U$7,1,0)</f>
        <v>0</v>
      </c>
      <c r="V372" s="1">
        <f t="shared" ref="V372:V374" si="157">IF(J372=$V$7,1,0)</f>
        <v>0</v>
      </c>
      <c r="W372" s="1">
        <f t="shared" ref="W372:W374" si="158">IF(J372=$W$7,1,0)</f>
        <v>0</v>
      </c>
      <c r="X372" s="1">
        <f t="shared" ref="X372:X374" si="159">IF(J372=$X$7,1,0)</f>
        <v>0</v>
      </c>
      <c r="Y372" s="1">
        <f t="shared" ref="Y372:Y374" si="160">IF(J372=$Y$7,1,0)</f>
        <v>0</v>
      </c>
      <c r="Z372" s="1">
        <f t="shared" ref="Z372:Z374" si="161">IF(J372=$Z$7,1,0)</f>
        <v>1</v>
      </c>
      <c r="AA372" s="1">
        <f t="shared" ref="AA372:AA374" si="162">IF(J372=$AA$7,1,0)</f>
        <v>0</v>
      </c>
      <c r="AB372" s="1">
        <f t="shared" ref="AB372:AB374" si="163">IF(J372=$AB$7,1,0)</f>
        <v>0</v>
      </c>
      <c r="AD372" s="1">
        <f t="shared" ref="AD372:AD374" si="164">+O372*P372</f>
        <v>0</v>
      </c>
      <c r="AE372" s="1">
        <f t="shared" ref="AE372:AE374" si="165">O372*(1-P372)</f>
        <v>1</v>
      </c>
      <c r="AF372" s="1">
        <f t="shared" si="132"/>
        <v>0</v>
      </c>
      <c r="AG372" s="1">
        <f t="shared" si="133"/>
        <v>1</v>
      </c>
      <c r="AH372" s="1">
        <f t="shared" si="134"/>
        <v>0</v>
      </c>
      <c r="AI372" s="1">
        <f t="shared" si="135"/>
        <v>1</v>
      </c>
    </row>
    <row r="373" spans="1:35" ht="14.25" customHeight="1" x14ac:dyDescent="0.25">
      <c r="A373" s="52">
        <v>0</v>
      </c>
      <c r="B373" s="52">
        <v>2</v>
      </c>
      <c r="C373" s="52">
        <v>5</v>
      </c>
      <c r="D373" s="53" t="s">
        <v>79</v>
      </c>
      <c r="E373" s="53" t="s">
        <v>160</v>
      </c>
      <c r="F373" s="53" t="s">
        <v>269</v>
      </c>
      <c r="G373" s="53" t="s">
        <v>214</v>
      </c>
      <c r="H373" s="53" t="s">
        <v>355</v>
      </c>
      <c r="I373" s="52" t="s">
        <v>426</v>
      </c>
      <c r="J373" s="52">
        <v>1</v>
      </c>
      <c r="K373" s="54" t="s">
        <v>959</v>
      </c>
      <c r="L373" s="54" t="s">
        <v>708</v>
      </c>
      <c r="M373" s="55" t="s">
        <v>731</v>
      </c>
      <c r="N373" s="55" t="s">
        <v>1750</v>
      </c>
      <c r="O373" s="56">
        <v>1</v>
      </c>
      <c r="P373" s="56"/>
      <c r="Q373" s="53"/>
      <c r="S373" s="1">
        <f t="shared" si="154"/>
        <v>1</v>
      </c>
      <c r="T373" s="1">
        <f t="shared" si="155"/>
        <v>0</v>
      </c>
      <c r="U373" s="1">
        <f t="shared" si="156"/>
        <v>0</v>
      </c>
      <c r="V373" s="1">
        <f t="shared" si="157"/>
        <v>0</v>
      </c>
      <c r="W373" s="1">
        <f t="shared" si="158"/>
        <v>0</v>
      </c>
      <c r="X373" s="1">
        <f t="shared" si="159"/>
        <v>0</v>
      </c>
      <c r="Y373" s="1">
        <f t="shared" si="160"/>
        <v>0</v>
      </c>
      <c r="Z373" s="1">
        <f t="shared" si="161"/>
        <v>0</v>
      </c>
      <c r="AA373" s="1">
        <f t="shared" si="162"/>
        <v>0</v>
      </c>
      <c r="AB373" s="1">
        <f t="shared" si="163"/>
        <v>0</v>
      </c>
      <c r="AD373" s="1">
        <f t="shared" si="164"/>
        <v>0</v>
      </c>
      <c r="AE373" s="1">
        <f t="shared" si="165"/>
        <v>1</v>
      </c>
      <c r="AF373" s="1">
        <f t="shared" si="132"/>
        <v>0</v>
      </c>
      <c r="AG373" s="1">
        <f t="shared" si="133"/>
        <v>1</v>
      </c>
      <c r="AH373" s="1">
        <f t="shared" si="134"/>
        <v>0</v>
      </c>
      <c r="AI373" s="1">
        <f t="shared" si="135"/>
        <v>1</v>
      </c>
    </row>
    <row r="374" spans="1:35" ht="14.25" customHeight="1" x14ac:dyDescent="0.25">
      <c r="A374" s="34">
        <v>0</v>
      </c>
      <c r="B374" s="34">
        <v>2</v>
      </c>
      <c r="C374" s="34">
        <v>5</v>
      </c>
      <c r="D374" s="35" t="s">
        <v>1649</v>
      </c>
      <c r="E374" s="35" t="s">
        <v>1661</v>
      </c>
      <c r="F374" s="35" t="s">
        <v>1558</v>
      </c>
      <c r="G374" s="35" t="s">
        <v>263</v>
      </c>
      <c r="H374" s="35" t="s">
        <v>355</v>
      </c>
      <c r="I374" s="34" t="s">
        <v>1559</v>
      </c>
      <c r="J374" s="34">
        <v>99</v>
      </c>
      <c r="K374" s="36" t="s">
        <v>959</v>
      </c>
      <c r="L374" s="36">
        <v>40</v>
      </c>
      <c r="M374" s="37" t="s">
        <v>39</v>
      </c>
      <c r="N374" s="37" t="s">
        <v>1832</v>
      </c>
      <c r="O374" s="38">
        <v>1</v>
      </c>
      <c r="P374" s="38"/>
      <c r="Q374" s="35"/>
      <c r="S374" s="1">
        <f t="shared" si="154"/>
        <v>0</v>
      </c>
      <c r="T374" s="1">
        <f t="shared" si="155"/>
        <v>0</v>
      </c>
      <c r="U374" s="1">
        <f t="shared" si="156"/>
        <v>0</v>
      </c>
      <c r="V374" s="1">
        <f t="shared" si="157"/>
        <v>0</v>
      </c>
      <c r="W374" s="1">
        <f t="shared" si="158"/>
        <v>0</v>
      </c>
      <c r="X374" s="1">
        <f t="shared" si="159"/>
        <v>0</v>
      </c>
      <c r="Y374" s="1">
        <f t="shared" si="160"/>
        <v>0</v>
      </c>
      <c r="Z374" s="1">
        <f t="shared" si="161"/>
        <v>0</v>
      </c>
      <c r="AA374" s="1">
        <f t="shared" si="162"/>
        <v>0</v>
      </c>
      <c r="AB374" s="1">
        <f t="shared" si="163"/>
        <v>0</v>
      </c>
      <c r="AD374" s="1">
        <f t="shared" si="164"/>
        <v>0</v>
      </c>
      <c r="AE374" s="1">
        <f t="shared" si="165"/>
        <v>1</v>
      </c>
      <c r="AF374" s="1">
        <f t="shared" si="132"/>
        <v>0</v>
      </c>
      <c r="AG374" s="1">
        <f t="shared" si="133"/>
        <v>1</v>
      </c>
      <c r="AH374" s="1">
        <f t="shared" si="134"/>
        <v>0</v>
      </c>
      <c r="AI374" s="1">
        <f t="shared" si="135"/>
        <v>1</v>
      </c>
    </row>
    <row r="375" spans="1:35" ht="14.25" customHeight="1" x14ac:dyDescent="0.25">
      <c r="A375" s="34">
        <v>0</v>
      </c>
      <c r="B375" s="34">
        <v>2</v>
      </c>
      <c r="C375" s="34">
        <v>5</v>
      </c>
      <c r="D375" s="35" t="s">
        <v>1304</v>
      </c>
      <c r="E375" s="35" t="s">
        <v>27</v>
      </c>
      <c r="F375" s="35" t="s">
        <v>1305</v>
      </c>
      <c r="G375" s="35" t="s">
        <v>1306</v>
      </c>
      <c r="H375" s="35" t="s">
        <v>355</v>
      </c>
      <c r="I375" s="34" t="s">
        <v>1307</v>
      </c>
      <c r="J375" s="34">
        <v>99</v>
      </c>
      <c r="K375" s="36" t="s">
        <v>959</v>
      </c>
      <c r="L375" s="36" t="s">
        <v>39</v>
      </c>
      <c r="M375" s="37" t="s">
        <v>39</v>
      </c>
      <c r="N375" s="37" t="s">
        <v>1734</v>
      </c>
      <c r="O375" s="38">
        <v>1</v>
      </c>
      <c r="P375" s="38">
        <v>1</v>
      </c>
      <c r="Q375" s="39"/>
      <c r="S375" s="1">
        <f t="shared" si="136"/>
        <v>0</v>
      </c>
      <c r="T375" s="1">
        <f t="shared" si="137"/>
        <v>0</v>
      </c>
      <c r="U375" s="1">
        <f t="shared" si="138"/>
        <v>0</v>
      </c>
      <c r="V375" s="1">
        <f t="shared" si="139"/>
        <v>0</v>
      </c>
      <c r="W375" s="1">
        <f t="shared" si="140"/>
        <v>0</v>
      </c>
      <c r="X375" s="1">
        <f t="shared" si="141"/>
        <v>0</v>
      </c>
      <c r="Y375" s="1">
        <f t="shared" si="142"/>
        <v>0</v>
      </c>
      <c r="Z375" s="1">
        <f t="shared" si="143"/>
        <v>0</v>
      </c>
      <c r="AA375" s="1">
        <f t="shared" si="144"/>
        <v>0</v>
      </c>
      <c r="AB375" s="1">
        <f t="shared" si="145"/>
        <v>0</v>
      </c>
      <c r="AD375" s="1">
        <f t="shared" si="146"/>
        <v>1</v>
      </c>
      <c r="AE375" s="1">
        <f t="shared" si="147"/>
        <v>0</v>
      </c>
      <c r="AF375" s="1">
        <f t="shared" si="132"/>
        <v>1</v>
      </c>
      <c r="AG375" s="1">
        <f t="shared" si="133"/>
        <v>0</v>
      </c>
      <c r="AH375" s="1">
        <f t="shared" si="134"/>
        <v>1</v>
      </c>
      <c r="AI375" s="1">
        <f t="shared" si="135"/>
        <v>0</v>
      </c>
    </row>
    <row r="376" spans="1:35" ht="14.25" customHeight="1" x14ac:dyDescent="0.25">
      <c r="A376" s="47">
        <v>0</v>
      </c>
      <c r="B376" s="47">
        <v>2</v>
      </c>
      <c r="C376" s="47">
        <v>5</v>
      </c>
      <c r="D376" s="48" t="s">
        <v>1610</v>
      </c>
      <c r="E376" s="48" t="s">
        <v>160</v>
      </c>
      <c r="F376" s="48" t="s">
        <v>1682</v>
      </c>
      <c r="G376" s="48" t="s">
        <v>1475</v>
      </c>
      <c r="H376" s="48" t="s">
        <v>355</v>
      </c>
      <c r="I376" s="47" t="s">
        <v>1476</v>
      </c>
      <c r="J376" s="47">
        <v>99</v>
      </c>
      <c r="K376" s="49" t="s">
        <v>717</v>
      </c>
      <c r="L376" s="49" t="s">
        <v>700</v>
      </c>
      <c r="M376" s="50" t="s">
        <v>1477</v>
      </c>
      <c r="N376" s="50" t="s">
        <v>1754</v>
      </c>
      <c r="O376" s="51"/>
      <c r="P376" s="51"/>
      <c r="Q376" s="48"/>
      <c r="S376" s="1">
        <f t="shared" si="136"/>
        <v>0</v>
      </c>
      <c r="T376" s="1">
        <f t="shared" si="137"/>
        <v>0</v>
      </c>
      <c r="U376" s="1">
        <f t="shared" si="138"/>
        <v>0</v>
      </c>
      <c r="V376" s="1">
        <f t="shared" si="139"/>
        <v>0</v>
      </c>
      <c r="W376" s="1">
        <f t="shared" si="140"/>
        <v>0</v>
      </c>
      <c r="X376" s="1">
        <f t="shared" si="141"/>
        <v>0</v>
      </c>
      <c r="Y376" s="1">
        <f t="shared" si="142"/>
        <v>0</v>
      </c>
      <c r="Z376" s="1">
        <f t="shared" si="143"/>
        <v>0</v>
      </c>
      <c r="AA376" s="1">
        <f t="shared" si="144"/>
        <v>0</v>
      </c>
      <c r="AB376" s="1">
        <f t="shared" si="145"/>
        <v>0</v>
      </c>
      <c r="AD376" s="1">
        <f t="shared" si="146"/>
        <v>0</v>
      </c>
      <c r="AE376" s="1">
        <f t="shared" si="147"/>
        <v>0</v>
      </c>
      <c r="AF376" s="1">
        <f t="shared" si="132"/>
        <v>0</v>
      </c>
      <c r="AG376" s="1">
        <f t="shared" si="133"/>
        <v>0</v>
      </c>
      <c r="AH376" s="1">
        <f t="shared" si="134"/>
        <v>0</v>
      </c>
      <c r="AI376" s="1">
        <f t="shared" si="135"/>
        <v>1</v>
      </c>
    </row>
    <row r="377" spans="1:35" ht="14.25" customHeight="1" x14ac:dyDescent="0.25">
      <c r="A377" s="34">
        <v>0</v>
      </c>
      <c r="B377" s="34">
        <v>2</v>
      </c>
      <c r="C377" s="34">
        <v>5</v>
      </c>
      <c r="D377" s="35" t="s">
        <v>1785</v>
      </c>
      <c r="E377" s="35" t="s">
        <v>156</v>
      </c>
      <c r="F377" s="35" t="s">
        <v>1786</v>
      </c>
      <c r="G377" s="35" t="s">
        <v>659</v>
      </c>
      <c r="H377" s="35" t="s">
        <v>355</v>
      </c>
      <c r="I377" s="34" t="s">
        <v>1787</v>
      </c>
      <c r="J377" s="34"/>
      <c r="K377" s="36" t="s">
        <v>707</v>
      </c>
      <c r="L377" s="36">
        <v>40</v>
      </c>
      <c r="M377" s="37" t="s">
        <v>1788</v>
      </c>
      <c r="N377" s="37" t="s">
        <v>1750</v>
      </c>
      <c r="O377" s="38">
        <v>1</v>
      </c>
      <c r="P377" s="38"/>
      <c r="Q377" s="35"/>
      <c r="S377" s="1">
        <f t="shared" si="136"/>
        <v>0</v>
      </c>
      <c r="T377" s="1">
        <f t="shared" si="137"/>
        <v>0</v>
      </c>
      <c r="U377" s="1">
        <f t="shared" si="138"/>
        <v>0</v>
      </c>
      <c r="V377" s="1">
        <f t="shared" si="139"/>
        <v>0</v>
      </c>
      <c r="W377" s="1">
        <f t="shared" si="140"/>
        <v>0</v>
      </c>
      <c r="X377" s="1">
        <f t="shared" si="141"/>
        <v>0</v>
      </c>
      <c r="Y377" s="1">
        <f t="shared" si="142"/>
        <v>0</v>
      </c>
      <c r="Z377" s="1">
        <f t="shared" si="143"/>
        <v>0</v>
      </c>
      <c r="AA377" s="1">
        <f t="shared" si="144"/>
        <v>0</v>
      </c>
      <c r="AB377" s="1">
        <f t="shared" si="145"/>
        <v>0</v>
      </c>
      <c r="AD377" s="1">
        <f t="shared" si="146"/>
        <v>0</v>
      </c>
      <c r="AE377" s="1">
        <f t="shared" si="147"/>
        <v>1</v>
      </c>
      <c r="AF377" s="1">
        <f t="shared" si="132"/>
        <v>0</v>
      </c>
      <c r="AG377" s="1">
        <f t="shared" si="133"/>
        <v>1</v>
      </c>
      <c r="AH377" s="1">
        <f t="shared" si="134"/>
        <v>0</v>
      </c>
      <c r="AI377" s="1">
        <f t="shared" si="135"/>
        <v>1</v>
      </c>
    </row>
    <row r="378" spans="1:35" ht="14.25" customHeight="1" x14ac:dyDescent="0.25">
      <c r="A378" s="47">
        <v>0</v>
      </c>
      <c r="B378" s="47">
        <v>2</v>
      </c>
      <c r="C378" s="47">
        <v>5</v>
      </c>
      <c r="D378" s="48" t="s">
        <v>841</v>
      </c>
      <c r="E378" s="48" t="s">
        <v>835</v>
      </c>
      <c r="F378" s="48" t="s">
        <v>945</v>
      </c>
      <c r="G378" s="48" t="s">
        <v>181</v>
      </c>
      <c r="H378" s="48" t="s">
        <v>355</v>
      </c>
      <c r="I378" s="47" t="s">
        <v>1113</v>
      </c>
      <c r="J378" s="47">
        <v>10</v>
      </c>
      <c r="K378" s="49" t="s">
        <v>716</v>
      </c>
      <c r="L378" s="49" t="s">
        <v>697</v>
      </c>
      <c r="M378" s="50" t="s">
        <v>1436</v>
      </c>
      <c r="N378" s="50" t="s">
        <v>1748</v>
      </c>
      <c r="O378" s="51"/>
      <c r="P378" s="51"/>
      <c r="Q378" s="48"/>
      <c r="S378" s="1">
        <f t="shared" si="136"/>
        <v>0</v>
      </c>
      <c r="T378" s="1">
        <f t="shared" si="137"/>
        <v>0</v>
      </c>
      <c r="U378" s="1">
        <f t="shared" si="138"/>
        <v>0</v>
      </c>
      <c r="V378" s="1">
        <f t="shared" si="139"/>
        <v>0</v>
      </c>
      <c r="W378" s="1">
        <f t="shared" si="140"/>
        <v>0</v>
      </c>
      <c r="X378" s="1">
        <f t="shared" si="141"/>
        <v>0</v>
      </c>
      <c r="Y378" s="1">
        <f t="shared" si="142"/>
        <v>0</v>
      </c>
      <c r="Z378" s="1">
        <f t="shared" si="143"/>
        <v>0</v>
      </c>
      <c r="AA378" s="1">
        <f t="shared" si="144"/>
        <v>0</v>
      </c>
      <c r="AB378" s="1">
        <f t="shared" si="145"/>
        <v>1</v>
      </c>
      <c r="AD378" s="1">
        <f t="shared" si="146"/>
        <v>0</v>
      </c>
      <c r="AE378" s="1">
        <f t="shared" si="147"/>
        <v>0</v>
      </c>
      <c r="AF378" s="1">
        <f t="shared" si="132"/>
        <v>0</v>
      </c>
      <c r="AG378" s="1">
        <f t="shared" si="133"/>
        <v>0</v>
      </c>
      <c r="AH378" s="1">
        <f t="shared" si="134"/>
        <v>0</v>
      </c>
      <c r="AI378" s="1">
        <f t="shared" si="135"/>
        <v>1</v>
      </c>
    </row>
    <row r="379" spans="1:35" ht="14.25" customHeight="1" x14ac:dyDescent="0.25">
      <c r="A379" s="60">
        <v>0</v>
      </c>
      <c r="B379" s="60">
        <v>2</v>
      </c>
      <c r="C379" s="60">
        <v>6</v>
      </c>
      <c r="D379" s="61" t="s">
        <v>1550</v>
      </c>
      <c r="E379" s="61" t="s">
        <v>27</v>
      </c>
      <c r="F379" s="61" t="s">
        <v>1552</v>
      </c>
      <c r="G379" s="61" t="s">
        <v>1541</v>
      </c>
      <c r="H379" s="61" t="s">
        <v>355</v>
      </c>
      <c r="I379" s="60" t="s">
        <v>1551</v>
      </c>
      <c r="J379" s="60">
        <v>5</v>
      </c>
      <c r="K379" s="62" t="s">
        <v>959</v>
      </c>
      <c r="L379" s="62" t="s">
        <v>39</v>
      </c>
      <c r="M379" s="63" t="s">
        <v>39</v>
      </c>
      <c r="N379" s="64"/>
      <c r="O379" s="65"/>
      <c r="P379" s="65"/>
      <c r="Q379" s="69" t="s">
        <v>1907</v>
      </c>
      <c r="S379" s="1">
        <f t="shared" si="136"/>
        <v>0</v>
      </c>
      <c r="T379" s="1">
        <f t="shared" si="137"/>
        <v>0</v>
      </c>
      <c r="U379" s="1">
        <f t="shared" si="138"/>
        <v>0</v>
      </c>
      <c r="V379" s="1">
        <f t="shared" si="139"/>
        <v>0</v>
      </c>
      <c r="W379" s="1">
        <f t="shared" si="140"/>
        <v>1</v>
      </c>
      <c r="X379" s="1">
        <f t="shared" si="141"/>
        <v>0</v>
      </c>
      <c r="Y379" s="1">
        <f t="shared" si="142"/>
        <v>0</v>
      </c>
      <c r="Z379" s="1">
        <f t="shared" si="143"/>
        <v>0</v>
      </c>
      <c r="AA379" s="1">
        <f t="shared" si="144"/>
        <v>0</v>
      </c>
      <c r="AB379" s="1">
        <f t="shared" si="145"/>
        <v>0</v>
      </c>
      <c r="AD379" s="1">
        <f t="shared" si="146"/>
        <v>0</v>
      </c>
      <c r="AE379" s="1">
        <f t="shared" si="147"/>
        <v>0</v>
      </c>
      <c r="AF379" s="1">
        <f t="shared" si="132"/>
        <v>0</v>
      </c>
      <c r="AG379" s="1">
        <f t="shared" si="133"/>
        <v>0</v>
      </c>
      <c r="AH379" s="1">
        <f t="shared" si="134"/>
        <v>0</v>
      </c>
      <c r="AI379" s="1">
        <f t="shared" si="135"/>
        <v>1</v>
      </c>
    </row>
    <row r="380" spans="1:35" ht="14.25" customHeight="1" x14ac:dyDescent="0.25">
      <c r="A380" s="47">
        <v>0</v>
      </c>
      <c r="B380" s="47">
        <v>2</v>
      </c>
      <c r="C380" s="47">
        <v>6</v>
      </c>
      <c r="D380" s="48" t="s">
        <v>521</v>
      </c>
      <c r="E380" s="48" t="s">
        <v>31</v>
      </c>
      <c r="F380" s="48" t="s">
        <v>675</v>
      </c>
      <c r="G380" s="48" t="s">
        <v>201</v>
      </c>
      <c r="H380" s="48" t="s">
        <v>355</v>
      </c>
      <c r="I380" s="47" t="s">
        <v>522</v>
      </c>
      <c r="J380" s="47">
        <v>2</v>
      </c>
      <c r="K380" s="49" t="s">
        <v>958</v>
      </c>
      <c r="L380" s="49" t="s">
        <v>698</v>
      </c>
      <c r="M380" s="50" t="s">
        <v>1437</v>
      </c>
      <c r="N380" s="50" t="s">
        <v>1742</v>
      </c>
      <c r="O380" s="51"/>
      <c r="P380" s="51"/>
      <c r="Q380" s="48"/>
      <c r="S380" s="1">
        <f t="shared" si="136"/>
        <v>0</v>
      </c>
      <c r="T380" s="1">
        <f t="shared" si="137"/>
        <v>1</v>
      </c>
      <c r="U380" s="1">
        <f t="shared" si="138"/>
        <v>0</v>
      </c>
      <c r="V380" s="1">
        <f t="shared" si="139"/>
        <v>0</v>
      </c>
      <c r="W380" s="1">
        <f t="shared" si="140"/>
        <v>0</v>
      </c>
      <c r="X380" s="1">
        <f t="shared" si="141"/>
        <v>0</v>
      </c>
      <c r="Y380" s="1">
        <f t="shared" si="142"/>
        <v>0</v>
      </c>
      <c r="Z380" s="1">
        <f t="shared" si="143"/>
        <v>0</v>
      </c>
      <c r="AA380" s="1">
        <f t="shared" si="144"/>
        <v>0</v>
      </c>
      <c r="AB380" s="1">
        <f t="shared" si="145"/>
        <v>0</v>
      </c>
      <c r="AD380" s="1">
        <f t="shared" si="146"/>
        <v>0</v>
      </c>
      <c r="AE380" s="1">
        <f t="shared" si="147"/>
        <v>0</v>
      </c>
      <c r="AF380" s="1">
        <f t="shared" si="132"/>
        <v>0</v>
      </c>
      <c r="AG380" s="1">
        <f t="shared" si="133"/>
        <v>0</v>
      </c>
      <c r="AH380" s="1">
        <f t="shared" si="134"/>
        <v>0</v>
      </c>
      <c r="AI380" s="1">
        <f t="shared" si="135"/>
        <v>1</v>
      </c>
    </row>
    <row r="381" spans="1:35" ht="14.25" customHeight="1" x14ac:dyDescent="0.25">
      <c r="A381" s="34">
        <v>0</v>
      </c>
      <c r="B381" s="34">
        <v>2</v>
      </c>
      <c r="C381" s="34">
        <v>6</v>
      </c>
      <c r="D381" s="35" t="s">
        <v>53</v>
      </c>
      <c r="E381" s="35" t="s">
        <v>31</v>
      </c>
      <c r="F381" s="35" t="s">
        <v>211</v>
      </c>
      <c r="G381" s="35" t="s">
        <v>212</v>
      </c>
      <c r="H381" s="35" t="s">
        <v>355</v>
      </c>
      <c r="I381" s="34" t="s">
        <v>393</v>
      </c>
      <c r="J381" s="34">
        <v>1</v>
      </c>
      <c r="K381" s="36" t="s">
        <v>716</v>
      </c>
      <c r="L381" s="36" t="s">
        <v>708</v>
      </c>
      <c r="M381" s="37" t="s">
        <v>732</v>
      </c>
      <c r="N381" s="37" t="s">
        <v>1750</v>
      </c>
      <c r="O381" s="38">
        <v>1</v>
      </c>
      <c r="P381" s="38"/>
      <c r="Q381" s="35"/>
      <c r="S381" s="1">
        <f t="shared" si="136"/>
        <v>1</v>
      </c>
      <c r="T381" s="1">
        <f t="shared" si="137"/>
        <v>0</v>
      </c>
      <c r="U381" s="1">
        <f t="shared" si="138"/>
        <v>0</v>
      </c>
      <c r="V381" s="1">
        <f t="shared" si="139"/>
        <v>0</v>
      </c>
      <c r="W381" s="1">
        <f t="shared" si="140"/>
        <v>0</v>
      </c>
      <c r="X381" s="1">
        <f t="shared" si="141"/>
        <v>0</v>
      </c>
      <c r="Y381" s="1">
        <f t="shared" si="142"/>
        <v>0</v>
      </c>
      <c r="Z381" s="1">
        <f t="shared" si="143"/>
        <v>0</v>
      </c>
      <c r="AA381" s="1">
        <f t="shared" si="144"/>
        <v>0</v>
      </c>
      <c r="AB381" s="1">
        <f t="shared" si="145"/>
        <v>0</v>
      </c>
      <c r="AD381" s="1">
        <f t="shared" si="146"/>
        <v>0</v>
      </c>
      <c r="AE381" s="1">
        <f t="shared" si="147"/>
        <v>1</v>
      </c>
      <c r="AF381" s="1">
        <f t="shared" si="132"/>
        <v>0</v>
      </c>
      <c r="AG381" s="1">
        <f t="shared" si="133"/>
        <v>1</v>
      </c>
      <c r="AH381" s="1">
        <f t="shared" si="134"/>
        <v>0</v>
      </c>
      <c r="AI381" s="1">
        <f t="shared" si="135"/>
        <v>1</v>
      </c>
    </row>
    <row r="382" spans="1:35" ht="14.25" customHeight="1" x14ac:dyDescent="0.25">
      <c r="A382" s="15">
        <v>0</v>
      </c>
      <c r="B382" s="15">
        <v>2</v>
      </c>
      <c r="C382" s="15">
        <v>6</v>
      </c>
      <c r="D382" s="16" t="s">
        <v>1869</v>
      </c>
      <c r="E382" s="16" t="s">
        <v>1870</v>
      </c>
      <c r="F382" s="20" t="s">
        <v>1871</v>
      </c>
      <c r="G382" s="16"/>
      <c r="H382" s="20" t="s">
        <v>355</v>
      </c>
      <c r="I382" s="21" t="s">
        <v>1872</v>
      </c>
      <c r="J382" s="15">
        <v>99</v>
      </c>
      <c r="K382" s="10" t="s">
        <v>707</v>
      </c>
      <c r="L382" s="10">
        <v>25</v>
      </c>
      <c r="M382" s="19" t="s">
        <v>1873</v>
      </c>
      <c r="N382" s="19"/>
      <c r="Q382" s="20"/>
      <c r="S382" s="1">
        <f t="shared" si="136"/>
        <v>0</v>
      </c>
      <c r="T382" s="1">
        <f t="shared" si="137"/>
        <v>0</v>
      </c>
      <c r="U382" s="1">
        <f t="shared" si="138"/>
        <v>0</v>
      </c>
      <c r="V382" s="1">
        <f t="shared" si="139"/>
        <v>0</v>
      </c>
      <c r="W382" s="1">
        <f t="shared" si="140"/>
        <v>0</v>
      </c>
      <c r="X382" s="1">
        <f t="shared" si="141"/>
        <v>0</v>
      </c>
      <c r="Y382" s="1">
        <f t="shared" si="142"/>
        <v>0</v>
      </c>
      <c r="Z382" s="1">
        <f t="shared" si="143"/>
        <v>0</v>
      </c>
      <c r="AA382" s="1">
        <f t="shared" si="144"/>
        <v>0</v>
      </c>
      <c r="AB382" s="1">
        <f t="shared" si="145"/>
        <v>0</v>
      </c>
      <c r="AD382" s="1">
        <f t="shared" si="146"/>
        <v>0</v>
      </c>
      <c r="AE382" s="1">
        <f t="shared" si="147"/>
        <v>0</v>
      </c>
      <c r="AF382" s="1">
        <f t="shared" si="132"/>
        <v>0</v>
      </c>
      <c r="AG382" s="1">
        <f t="shared" si="133"/>
        <v>0</v>
      </c>
      <c r="AH382" s="1">
        <f t="shared" si="134"/>
        <v>0</v>
      </c>
      <c r="AI382" s="1">
        <f t="shared" si="135"/>
        <v>1</v>
      </c>
    </row>
    <row r="383" spans="1:35" ht="14.25" customHeight="1" x14ac:dyDescent="0.25">
      <c r="A383" s="15">
        <v>0</v>
      </c>
      <c r="B383" s="15">
        <v>2</v>
      </c>
      <c r="C383" s="15">
        <v>6</v>
      </c>
      <c r="D383" s="16" t="s">
        <v>80</v>
      </c>
      <c r="E383" s="16" t="s">
        <v>31</v>
      </c>
      <c r="F383" s="16" t="s">
        <v>271</v>
      </c>
      <c r="G383" s="16" t="s">
        <v>225</v>
      </c>
      <c r="H383" s="16" t="s">
        <v>355</v>
      </c>
      <c r="I383" s="15" t="s">
        <v>681</v>
      </c>
      <c r="J383" s="15">
        <v>99</v>
      </c>
      <c r="K383" s="10" t="s">
        <v>959</v>
      </c>
      <c r="L383" s="10" t="s">
        <v>698</v>
      </c>
      <c r="M383" s="19" t="s">
        <v>1438</v>
      </c>
      <c r="N383" s="19"/>
      <c r="Q383" s="16"/>
      <c r="S383" s="1">
        <f t="shared" si="136"/>
        <v>0</v>
      </c>
      <c r="T383" s="1">
        <f t="shared" si="137"/>
        <v>0</v>
      </c>
      <c r="U383" s="1">
        <f t="shared" si="138"/>
        <v>0</v>
      </c>
      <c r="V383" s="1">
        <f t="shared" si="139"/>
        <v>0</v>
      </c>
      <c r="W383" s="1">
        <f t="shared" si="140"/>
        <v>0</v>
      </c>
      <c r="X383" s="1">
        <f t="shared" si="141"/>
        <v>0</v>
      </c>
      <c r="Y383" s="1">
        <f t="shared" si="142"/>
        <v>0</v>
      </c>
      <c r="Z383" s="1">
        <f t="shared" si="143"/>
        <v>0</v>
      </c>
      <c r="AA383" s="1">
        <f t="shared" si="144"/>
        <v>0</v>
      </c>
      <c r="AB383" s="1">
        <f t="shared" si="145"/>
        <v>0</v>
      </c>
      <c r="AD383" s="1">
        <f t="shared" si="146"/>
        <v>0</v>
      </c>
      <c r="AE383" s="1">
        <f t="shared" si="147"/>
        <v>0</v>
      </c>
      <c r="AF383" s="1">
        <f t="shared" si="132"/>
        <v>0</v>
      </c>
      <c r="AG383" s="1">
        <f t="shared" si="133"/>
        <v>0</v>
      </c>
      <c r="AH383" s="1">
        <f t="shared" si="134"/>
        <v>0</v>
      </c>
      <c r="AI383" s="1">
        <f t="shared" si="135"/>
        <v>1</v>
      </c>
    </row>
    <row r="384" spans="1:35" ht="14.25" customHeight="1" x14ac:dyDescent="0.25">
      <c r="A384" s="47">
        <v>0</v>
      </c>
      <c r="B384" s="47">
        <v>2</v>
      </c>
      <c r="C384" s="47">
        <v>6</v>
      </c>
      <c r="D384" s="48" t="s">
        <v>641</v>
      </c>
      <c r="E384" s="48" t="s">
        <v>31</v>
      </c>
      <c r="F384" s="48" t="s">
        <v>642</v>
      </c>
      <c r="G384" s="48" t="s">
        <v>241</v>
      </c>
      <c r="H384" s="48" t="s">
        <v>355</v>
      </c>
      <c r="I384" s="47" t="s">
        <v>643</v>
      </c>
      <c r="J384" s="47">
        <v>1</v>
      </c>
      <c r="K384" s="49" t="s">
        <v>717</v>
      </c>
      <c r="L384" s="49" t="s">
        <v>698</v>
      </c>
      <c r="M384" s="50" t="s">
        <v>1439</v>
      </c>
      <c r="N384" s="50" t="s">
        <v>1742</v>
      </c>
      <c r="O384" s="51"/>
      <c r="P384" s="51"/>
      <c r="Q384" s="48"/>
      <c r="S384" s="1">
        <f t="shared" si="136"/>
        <v>1</v>
      </c>
      <c r="T384" s="1">
        <f t="shared" si="137"/>
        <v>0</v>
      </c>
      <c r="U384" s="1">
        <f t="shared" si="138"/>
        <v>0</v>
      </c>
      <c r="V384" s="1">
        <f t="shared" si="139"/>
        <v>0</v>
      </c>
      <c r="W384" s="1">
        <f t="shared" si="140"/>
        <v>0</v>
      </c>
      <c r="X384" s="1">
        <f t="shared" si="141"/>
        <v>0</v>
      </c>
      <c r="Y384" s="1">
        <f t="shared" si="142"/>
        <v>0</v>
      </c>
      <c r="Z384" s="1">
        <f t="shared" si="143"/>
        <v>0</v>
      </c>
      <c r="AA384" s="1">
        <f t="shared" si="144"/>
        <v>0</v>
      </c>
      <c r="AB384" s="1">
        <f t="shared" si="145"/>
        <v>0</v>
      </c>
      <c r="AD384" s="1">
        <f t="shared" si="146"/>
        <v>0</v>
      </c>
      <c r="AE384" s="1">
        <f t="shared" si="147"/>
        <v>0</v>
      </c>
      <c r="AF384" s="1">
        <f t="shared" si="132"/>
        <v>0</v>
      </c>
      <c r="AG384" s="1">
        <f t="shared" si="133"/>
        <v>0</v>
      </c>
      <c r="AH384" s="1">
        <f t="shared" si="134"/>
        <v>0</v>
      </c>
      <c r="AI384" s="1">
        <f t="shared" si="135"/>
        <v>1</v>
      </c>
    </row>
    <row r="385" spans="1:35" ht="14.25" customHeight="1" x14ac:dyDescent="0.25">
      <c r="A385" s="47">
        <v>0</v>
      </c>
      <c r="B385" s="47">
        <v>2</v>
      </c>
      <c r="C385" s="47">
        <v>6</v>
      </c>
      <c r="D385" s="48" t="s">
        <v>1139</v>
      </c>
      <c r="E385" s="48" t="s">
        <v>31</v>
      </c>
      <c r="F385" s="48" t="s">
        <v>675</v>
      </c>
      <c r="G385" s="48" t="s">
        <v>201</v>
      </c>
      <c r="H385" s="48" t="s">
        <v>355</v>
      </c>
      <c r="I385" s="47" t="s">
        <v>522</v>
      </c>
      <c r="J385" s="47">
        <v>2</v>
      </c>
      <c r="K385" s="49" t="s">
        <v>716</v>
      </c>
      <c r="L385" s="49" t="s">
        <v>698</v>
      </c>
      <c r="M385" s="50" t="s">
        <v>732</v>
      </c>
      <c r="N385" s="50" t="s">
        <v>1742</v>
      </c>
      <c r="O385" s="51"/>
      <c r="P385" s="51"/>
      <c r="Q385" s="48"/>
      <c r="S385" s="1">
        <f t="shared" si="136"/>
        <v>0</v>
      </c>
      <c r="T385" s="1">
        <f t="shared" si="137"/>
        <v>1</v>
      </c>
      <c r="U385" s="1">
        <f t="shared" si="138"/>
        <v>0</v>
      </c>
      <c r="V385" s="1">
        <f t="shared" si="139"/>
        <v>0</v>
      </c>
      <c r="W385" s="1">
        <f t="shared" si="140"/>
        <v>0</v>
      </c>
      <c r="X385" s="1">
        <f t="shared" si="141"/>
        <v>0</v>
      </c>
      <c r="Y385" s="1">
        <f t="shared" si="142"/>
        <v>0</v>
      </c>
      <c r="Z385" s="1">
        <f t="shared" si="143"/>
        <v>0</v>
      </c>
      <c r="AA385" s="1">
        <f t="shared" si="144"/>
        <v>0</v>
      </c>
      <c r="AB385" s="1">
        <f t="shared" si="145"/>
        <v>0</v>
      </c>
      <c r="AD385" s="1">
        <f t="shared" si="146"/>
        <v>0</v>
      </c>
      <c r="AE385" s="1">
        <f t="shared" si="147"/>
        <v>0</v>
      </c>
      <c r="AF385" s="1">
        <f t="shared" si="132"/>
        <v>0</v>
      </c>
      <c r="AG385" s="1">
        <f t="shared" si="133"/>
        <v>0</v>
      </c>
      <c r="AH385" s="1">
        <f t="shared" si="134"/>
        <v>0</v>
      </c>
      <c r="AI385" s="1">
        <f t="shared" si="135"/>
        <v>1</v>
      </c>
    </row>
    <row r="386" spans="1:35" ht="14.25" customHeight="1" x14ac:dyDescent="0.25">
      <c r="A386" s="47">
        <v>0</v>
      </c>
      <c r="B386" s="47">
        <v>2</v>
      </c>
      <c r="C386" s="47">
        <v>6</v>
      </c>
      <c r="D386" s="48" t="s">
        <v>1087</v>
      </c>
      <c r="E386" s="48" t="s">
        <v>160</v>
      </c>
      <c r="F386" s="48" t="s">
        <v>199</v>
      </c>
      <c r="G386" s="48" t="s">
        <v>200</v>
      </c>
      <c r="H386" s="48" t="s">
        <v>355</v>
      </c>
      <c r="I386" s="47" t="s">
        <v>389</v>
      </c>
      <c r="J386" s="47">
        <v>99</v>
      </c>
      <c r="K386" s="49" t="s">
        <v>716</v>
      </c>
      <c r="L386" s="49" t="s">
        <v>720</v>
      </c>
      <c r="M386" s="50" t="s">
        <v>734</v>
      </c>
      <c r="N386" s="50" t="s">
        <v>1741</v>
      </c>
      <c r="O386" s="51"/>
      <c r="P386" s="51"/>
      <c r="Q386" s="48"/>
      <c r="S386" s="1">
        <f t="shared" si="136"/>
        <v>0</v>
      </c>
      <c r="T386" s="1">
        <f t="shared" si="137"/>
        <v>0</v>
      </c>
      <c r="U386" s="1">
        <f t="shared" si="138"/>
        <v>0</v>
      </c>
      <c r="V386" s="1">
        <f t="shared" si="139"/>
        <v>0</v>
      </c>
      <c r="W386" s="1">
        <f t="shared" si="140"/>
        <v>0</v>
      </c>
      <c r="X386" s="1">
        <f t="shared" si="141"/>
        <v>0</v>
      </c>
      <c r="Y386" s="1">
        <f t="shared" si="142"/>
        <v>0</v>
      </c>
      <c r="Z386" s="1">
        <f t="shared" si="143"/>
        <v>0</v>
      </c>
      <c r="AA386" s="1">
        <f t="shared" si="144"/>
        <v>0</v>
      </c>
      <c r="AB386" s="1">
        <f t="shared" si="145"/>
        <v>0</v>
      </c>
      <c r="AD386" s="1">
        <f t="shared" si="146"/>
        <v>0</v>
      </c>
      <c r="AE386" s="1">
        <f t="shared" si="147"/>
        <v>0</v>
      </c>
      <c r="AF386" s="1">
        <f t="shared" si="132"/>
        <v>0</v>
      </c>
      <c r="AG386" s="1">
        <f t="shared" si="133"/>
        <v>0</v>
      </c>
      <c r="AH386" s="1">
        <f t="shared" si="134"/>
        <v>0</v>
      </c>
      <c r="AI386" s="1">
        <f t="shared" si="135"/>
        <v>1</v>
      </c>
    </row>
    <row r="387" spans="1:35" ht="14.25" customHeight="1" x14ac:dyDescent="0.25">
      <c r="A387" s="34">
        <v>0</v>
      </c>
      <c r="B387" s="34">
        <v>2</v>
      </c>
      <c r="C387" s="34">
        <v>7</v>
      </c>
      <c r="D387" s="35" t="s">
        <v>511</v>
      </c>
      <c r="E387" s="35" t="s">
        <v>157</v>
      </c>
      <c r="F387" s="35" t="s">
        <v>512</v>
      </c>
      <c r="G387" s="35" t="s">
        <v>39</v>
      </c>
      <c r="H387" s="35" t="s">
        <v>355</v>
      </c>
      <c r="I387" s="34" t="s">
        <v>946</v>
      </c>
      <c r="J387" s="34">
        <v>7</v>
      </c>
      <c r="K387" s="36" t="s">
        <v>959</v>
      </c>
      <c r="L387" s="36" t="s">
        <v>39</v>
      </c>
      <c r="M387" s="37" t="s">
        <v>39</v>
      </c>
      <c r="N387" s="37" t="s">
        <v>1734</v>
      </c>
      <c r="O387" s="38">
        <v>1</v>
      </c>
      <c r="P387" s="38">
        <v>1</v>
      </c>
      <c r="Q387" s="35"/>
      <c r="S387" s="1">
        <f t="shared" si="136"/>
        <v>0</v>
      </c>
      <c r="T387" s="1">
        <f t="shared" si="137"/>
        <v>0</v>
      </c>
      <c r="U387" s="1">
        <f t="shared" si="138"/>
        <v>0</v>
      </c>
      <c r="V387" s="1">
        <f t="shared" si="139"/>
        <v>0</v>
      </c>
      <c r="W387" s="1">
        <f t="shared" si="140"/>
        <v>0</v>
      </c>
      <c r="X387" s="1">
        <f t="shared" si="141"/>
        <v>0</v>
      </c>
      <c r="Y387" s="1">
        <f t="shared" si="142"/>
        <v>1</v>
      </c>
      <c r="Z387" s="1">
        <f t="shared" si="143"/>
        <v>0</v>
      </c>
      <c r="AA387" s="1">
        <f t="shared" si="144"/>
        <v>0</v>
      </c>
      <c r="AB387" s="1">
        <f t="shared" si="145"/>
        <v>0</v>
      </c>
      <c r="AD387" s="1">
        <f t="shared" si="146"/>
        <v>1</v>
      </c>
      <c r="AE387" s="1">
        <f t="shared" si="147"/>
        <v>0</v>
      </c>
      <c r="AF387" s="1">
        <f t="shared" si="132"/>
        <v>1</v>
      </c>
      <c r="AG387" s="1">
        <f t="shared" si="133"/>
        <v>0</v>
      </c>
      <c r="AH387" s="1">
        <f t="shared" si="134"/>
        <v>1</v>
      </c>
      <c r="AI387" s="1">
        <f t="shared" si="135"/>
        <v>0</v>
      </c>
    </row>
    <row r="388" spans="1:35" ht="14.25" customHeight="1" x14ac:dyDescent="0.25">
      <c r="A388" s="34">
        <v>0</v>
      </c>
      <c r="B388" s="34">
        <v>2</v>
      </c>
      <c r="C388" s="34">
        <v>7</v>
      </c>
      <c r="D388" s="35" t="s">
        <v>70</v>
      </c>
      <c r="E388" s="35" t="s">
        <v>28</v>
      </c>
      <c r="F388" s="35" t="s">
        <v>676</v>
      </c>
      <c r="G388" s="35" t="s">
        <v>259</v>
      </c>
      <c r="H388" s="35" t="s">
        <v>355</v>
      </c>
      <c r="I388" s="34" t="s">
        <v>418</v>
      </c>
      <c r="J388" s="34">
        <v>8</v>
      </c>
      <c r="K388" s="36" t="s">
        <v>717</v>
      </c>
      <c r="L388" s="36" t="s">
        <v>717</v>
      </c>
      <c r="M388" s="37" t="s">
        <v>735</v>
      </c>
      <c r="N388" s="37" t="s">
        <v>1750</v>
      </c>
      <c r="O388" s="38">
        <v>1</v>
      </c>
      <c r="P388" s="38"/>
      <c r="Q388" s="35"/>
      <c r="S388" s="1">
        <f t="shared" si="136"/>
        <v>0</v>
      </c>
      <c r="T388" s="1">
        <f t="shared" si="137"/>
        <v>0</v>
      </c>
      <c r="U388" s="1">
        <f t="shared" si="138"/>
        <v>0</v>
      </c>
      <c r="V388" s="1">
        <f t="shared" si="139"/>
        <v>0</v>
      </c>
      <c r="W388" s="1">
        <f t="shared" si="140"/>
        <v>0</v>
      </c>
      <c r="X388" s="1">
        <f t="shared" si="141"/>
        <v>0</v>
      </c>
      <c r="Y388" s="1">
        <f t="shared" si="142"/>
        <v>0</v>
      </c>
      <c r="Z388" s="1">
        <f t="shared" si="143"/>
        <v>1</v>
      </c>
      <c r="AA388" s="1">
        <f t="shared" si="144"/>
        <v>0</v>
      </c>
      <c r="AB388" s="1">
        <f t="shared" si="145"/>
        <v>0</v>
      </c>
      <c r="AD388" s="1">
        <f t="shared" si="146"/>
        <v>0</v>
      </c>
      <c r="AE388" s="1">
        <f t="shared" si="147"/>
        <v>1</v>
      </c>
      <c r="AF388" s="1">
        <f t="shared" si="132"/>
        <v>0</v>
      </c>
      <c r="AG388" s="1">
        <f t="shared" si="133"/>
        <v>1</v>
      </c>
      <c r="AH388" s="1">
        <f t="shared" si="134"/>
        <v>0</v>
      </c>
      <c r="AI388" s="1">
        <f t="shared" si="135"/>
        <v>1</v>
      </c>
    </row>
    <row r="389" spans="1:35" ht="14.25" customHeight="1" x14ac:dyDescent="0.25">
      <c r="A389" s="34">
        <v>0</v>
      </c>
      <c r="B389" s="34">
        <v>2</v>
      </c>
      <c r="C389" s="34">
        <v>7</v>
      </c>
      <c r="D389" s="35" t="s">
        <v>656</v>
      </c>
      <c r="E389" s="35" t="s">
        <v>157</v>
      </c>
      <c r="F389" s="35" t="s">
        <v>587</v>
      </c>
      <c r="G389" s="35" t="s">
        <v>250</v>
      </c>
      <c r="H389" s="35" t="s">
        <v>355</v>
      </c>
      <c r="I389" s="34" t="s">
        <v>682</v>
      </c>
      <c r="J389" s="34">
        <v>7</v>
      </c>
      <c r="K389" s="36" t="s">
        <v>959</v>
      </c>
      <c r="L389" s="36" t="s">
        <v>39</v>
      </c>
      <c r="M389" s="37" t="s">
        <v>39</v>
      </c>
      <c r="N389" s="37" t="s">
        <v>1734</v>
      </c>
      <c r="O389" s="38">
        <v>1</v>
      </c>
      <c r="P389" s="38">
        <v>1</v>
      </c>
      <c r="Q389" s="35"/>
      <c r="S389" s="1">
        <f t="shared" si="136"/>
        <v>0</v>
      </c>
      <c r="T389" s="1">
        <f t="shared" si="137"/>
        <v>0</v>
      </c>
      <c r="U389" s="1">
        <f t="shared" si="138"/>
        <v>0</v>
      </c>
      <c r="V389" s="1">
        <f t="shared" si="139"/>
        <v>0</v>
      </c>
      <c r="W389" s="1">
        <f t="shared" si="140"/>
        <v>0</v>
      </c>
      <c r="X389" s="1">
        <f t="shared" si="141"/>
        <v>0</v>
      </c>
      <c r="Y389" s="1">
        <f t="shared" si="142"/>
        <v>1</v>
      </c>
      <c r="Z389" s="1">
        <f t="shared" si="143"/>
        <v>0</v>
      </c>
      <c r="AA389" s="1">
        <f t="shared" si="144"/>
        <v>0</v>
      </c>
      <c r="AB389" s="1">
        <f t="shared" si="145"/>
        <v>0</v>
      </c>
      <c r="AD389" s="1">
        <f t="shared" si="146"/>
        <v>1</v>
      </c>
      <c r="AE389" s="1">
        <f t="shared" si="147"/>
        <v>0</v>
      </c>
      <c r="AF389" s="1">
        <f t="shared" si="132"/>
        <v>1</v>
      </c>
      <c r="AG389" s="1">
        <f t="shared" si="133"/>
        <v>0</v>
      </c>
      <c r="AH389" s="1">
        <f t="shared" si="134"/>
        <v>1</v>
      </c>
      <c r="AI389" s="1">
        <f t="shared" si="135"/>
        <v>0</v>
      </c>
    </row>
    <row r="390" spans="1:35" ht="14.25" customHeight="1" x14ac:dyDescent="0.25">
      <c r="A390" s="47">
        <v>0</v>
      </c>
      <c r="B390" s="47">
        <v>2</v>
      </c>
      <c r="C390" s="47">
        <v>7</v>
      </c>
      <c r="D390" s="48" t="s">
        <v>1641</v>
      </c>
      <c r="E390" s="48" t="s">
        <v>157</v>
      </c>
      <c r="F390" s="48" t="s">
        <v>1664</v>
      </c>
      <c r="G390" s="48" t="s">
        <v>214</v>
      </c>
      <c r="H390" s="48" t="s">
        <v>355</v>
      </c>
      <c r="I390" s="47" t="s">
        <v>596</v>
      </c>
      <c r="J390" s="47">
        <v>1</v>
      </c>
      <c r="K390" s="49" t="s">
        <v>716</v>
      </c>
      <c r="L390" s="49" t="s">
        <v>726</v>
      </c>
      <c r="M390" s="50" t="s">
        <v>1440</v>
      </c>
      <c r="N390" s="50" t="s">
        <v>1742</v>
      </c>
      <c r="O390" s="51"/>
      <c r="P390" s="51"/>
      <c r="Q390" s="48"/>
      <c r="S390" s="1">
        <f t="shared" si="136"/>
        <v>1</v>
      </c>
      <c r="T390" s="1">
        <f t="shared" si="137"/>
        <v>0</v>
      </c>
      <c r="U390" s="1">
        <f t="shared" si="138"/>
        <v>0</v>
      </c>
      <c r="V390" s="1">
        <f t="shared" si="139"/>
        <v>0</v>
      </c>
      <c r="W390" s="1">
        <f t="shared" si="140"/>
        <v>0</v>
      </c>
      <c r="X390" s="1">
        <f t="shared" si="141"/>
        <v>0</v>
      </c>
      <c r="Y390" s="1">
        <f t="shared" si="142"/>
        <v>0</v>
      </c>
      <c r="Z390" s="1">
        <f t="shared" si="143"/>
        <v>0</v>
      </c>
      <c r="AA390" s="1">
        <f t="shared" si="144"/>
        <v>0</v>
      </c>
      <c r="AB390" s="1">
        <f t="shared" si="145"/>
        <v>0</v>
      </c>
      <c r="AD390" s="1">
        <f t="shared" si="146"/>
        <v>0</v>
      </c>
      <c r="AE390" s="1">
        <f t="shared" si="147"/>
        <v>0</v>
      </c>
      <c r="AF390" s="1">
        <f t="shared" si="132"/>
        <v>0</v>
      </c>
      <c r="AG390" s="1">
        <f t="shared" si="133"/>
        <v>0</v>
      </c>
      <c r="AH390" s="1">
        <f t="shared" si="134"/>
        <v>0</v>
      </c>
      <c r="AI390" s="1">
        <f t="shared" si="135"/>
        <v>1</v>
      </c>
    </row>
    <row r="391" spans="1:35" ht="14.25" customHeight="1" x14ac:dyDescent="0.25">
      <c r="A391" s="47">
        <v>0</v>
      </c>
      <c r="B391" s="47">
        <v>2</v>
      </c>
      <c r="C391" s="47">
        <v>7</v>
      </c>
      <c r="D391" s="48" t="s">
        <v>1074</v>
      </c>
      <c r="E391" s="48" t="s">
        <v>1050</v>
      </c>
      <c r="F391" s="48" t="s">
        <v>1075</v>
      </c>
      <c r="G391" s="48" t="s">
        <v>214</v>
      </c>
      <c r="H391" s="48" t="s">
        <v>355</v>
      </c>
      <c r="I391" s="47" t="s">
        <v>1076</v>
      </c>
      <c r="J391" s="47">
        <v>1</v>
      </c>
      <c r="K391" s="49" t="s">
        <v>959</v>
      </c>
      <c r="L391" s="49" t="s">
        <v>726</v>
      </c>
      <c r="M391" s="50" t="s">
        <v>1441</v>
      </c>
      <c r="N391" s="50" t="s">
        <v>1742</v>
      </c>
      <c r="O391" s="51"/>
      <c r="P391" s="51"/>
      <c r="Q391" s="48" t="s">
        <v>1925</v>
      </c>
      <c r="S391" s="1">
        <f t="shared" si="136"/>
        <v>1</v>
      </c>
      <c r="T391" s="1">
        <f t="shared" si="137"/>
        <v>0</v>
      </c>
      <c r="U391" s="1">
        <f t="shared" si="138"/>
        <v>0</v>
      </c>
      <c r="V391" s="1">
        <f t="shared" si="139"/>
        <v>0</v>
      </c>
      <c r="W391" s="1">
        <f t="shared" si="140"/>
        <v>0</v>
      </c>
      <c r="X391" s="1">
        <f t="shared" si="141"/>
        <v>0</v>
      </c>
      <c r="Y391" s="1">
        <f t="shared" si="142"/>
        <v>0</v>
      </c>
      <c r="Z391" s="1">
        <f t="shared" si="143"/>
        <v>0</v>
      </c>
      <c r="AA391" s="1">
        <f t="shared" si="144"/>
        <v>0</v>
      </c>
      <c r="AB391" s="1">
        <f t="shared" si="145"/>
        <v>0</v>
      </c>
      <c r="AD391" s="1">
        <f t="shared" si="146"/>
        <v>0</v>
      </c>
      <c r="AE391" s="1">
        <f t="shared" si="147"/>
        <v>0</v>
      </c>
      <c r="AF391" s="1">
        <f t="shared" si="132"/>
        <v>0</v>
      </c>
      <c r="AG391" s="1">
        <f t="shared" si="133"/>
        <v>0</v>
      </c>
      <c r="AH391" s="1">
        <f t="shared" si="134"/>
        <v>0</v>
      </c>
      <c r="AI391" s="1">
        <f t="shared" si="135"/>
        <v>1</v>
      </c>
    </row>
    <row r="392" spans="1:35" ht="14.25" customHeight="1" x14ac:dyDescent="0.25">
      <c r="A392" s="34">
        <v>0</v>
      </c>
      <c r="B392" s="34">
        <v>2</v>
      </c>
      <c r="C392" s="34">
        <v>7</v>
      </c>
      <c r="D392" s="35" t="s">
        <v>1021</v>
      </c>
      <c r="E392" s="35" t="s">
        <v>157</v>
      </c>
      <c r="F392" s="35" t="s">
        <v>1092</v>
      </c>
      <c r="G392" s="35" t="s">
        <v>1102</v>
      </c>
      <c r="H392" s="35" t="s">
        <v>355</v>
      </c>
      <c r="I392" s="34" t="s">
        <v>1022</v>
      </c>
      <c r="J392" s="34">
        <v>99</v>
      </c>
      <c r="K392" s="36" t="s">
        <v>717</v>
      </c>
      <c r="L392" s="36" t="s">
        <v>726</v>
      </c>
      <c r="M392" s="37" t="s">
        <v>1441</v>
      </c>
      <c r="N392" s="37" t="s">
        <v>1755</v>
      </c>
      <c r="O392" s="38">
        <v>1</v>
      </c>
      <c r="P392" s="38"/>
      <c r="Q392" s="35"/>
      <c r="S392" s="1">
        <f t="shared" si="136"/>
        <v>0</v>
      </c>
      <c r="T392" s="1">
        <f t="shared" si="137"/>
        <v>0</v>
      </c>
      <c r="U392" s="1">
        <f t="shared" si="138"/>
        <v>0</v>
      </c>
      <c r="V392" s="1">
        <f t="shared" si="139"/>
        <v>0</v>
      </c>
      <c r="W392" s="1">
        <f t="shared" si="140"/>
        <v>0</v>
      </c>
      <c r="X392" s="1">
        <f t="shared" si="141"/>
        <v>0</v>
      </c>
      <c r="Y392" s="1">
        <f t="shared" si="142"/>
        <v>0</v>
      </c>
      <c r="Z392" s="1">
        <f t="shared" si="143"/>
        <v>0</v>
      </c>
      <c r="AA392" s="1">
        <f t="shared" si="144"/>
        <v>0</v>
      </c>
      <c r="AB392" s="1">
        <f t="shared" si="145"/>
        <v>0</v>
      </c>
      <c r="AD392" s="1">
        <f t="shared" si="146"/>
        <v>0</v>
      </c>
      <c r="AE392" s="1">
        <f t="shared" si="147"/>
        <v>1</v>
      </c>
      <c r="AF392" s="1">
        <f t="shared" si="132"/>
        <v>0</v>
      </c>
      <c r="AG392" s="1">
        <f t="shared" si="133"/>
        <v>1</v>
      </c>
      <c r="AH392" s="1">
        <f t="shared" si="134"/>
        <v>0</v>
      </c>
      <c r="AI392" s="1">
        <f t="shared" si="135"/>
        <v>1</v>
      </c>
    </row>
    <row r="393" spans="1:35" ht="14.25" customHeight="1" x14ac:dyDescent="0.25">
      <c r="A393" s="34">
        <v>0</v>
      </c>
      <c r="B393" s="34">
        <v>2</v>
      </c>
      <c r="C393" s="34">
        <v>7</v>
      </c>
      <c r="D393" s="35" t="s">
        <v>1212</v>
      </c>
      <c r="E393" s="35" t="s">
        <v>1339</v>
      </c>
      <c r="F393" s="35" t="s">
        <v>1213</v>
      </c>
      <c r="G393" s="35" t="s">
        <v>39</v>
      </c>
      <c r="H393" s="35" t="s">
        <v>355</v>
      </c>
      <c r="I393" s="34" t="s">
        <v>1692</v>
      </c>
      <c r="J393" s="34">
        <v>99</v>
      </c>
      <c r="K393" s="36" t="s">
        <v>959</v>
      </c>
      <c r="L393" s="36" t="s">
        <v>733</v>
      </c>
      <c r="M393" s="37" t="s">
        <v>1442</v>
      </c>
      <c r="N393" s="37" t="s">
        <v>1755</v>
      </c>
      <c r="O393" s="38">
        <v>1</v>
      </c>
      <c r="P393" s="38"/>
      <c r="Q393" s="35"/>
      <c r="S393" s="1">
        <f t="shared" si="136"/>
        <v>0</v>
      </c>
      <c r="T393" s="1">
        <f t="shared" si="137"/>
        <v>0</v>
      </c>
      <c r="U393" s="1">
        <f t="shared" si="138"/>
        <v>0</v>
      </c>
      <c r="V393" s="1">
        <f t="shared" si="139"/>
        <v>0</v>
      </c>
      <c r="W393" s="1">
        <f t="shared" si="140"/>
        <v>0</v>
      </c>
      <c r="X393" s="1">
        <f t="shared" si="141"/>
        <v>0</v>
      </c>
      <c r="Y393" s="1">
        <f t="shared" si="142"/>
        <v>0</v>
      </c>
      <c r="Z393" s="1">
        <f t="shared" si="143"/>
        <v>0</v>
      </c>
      <c r="AA393" s="1">
        <f t="shared" si="144"/>
        <v>0</v>
      </c>
      <c r="AB393" s="1">
        <f t="shared" si="145"/>
        <v>0</v>
      </c>
      <c r="AD393" s="1">
        <f t="shared" si="146"/>
        <v>0</v>
      </c>
      <c r="AE393" s="1">
        <f t="shared" si="147"/>
        <v>1</v>
      </c>
      <c r="AF393" s="1">
        <f t="shared" si="132"/>
        <v>0</v>
      </c>
      <c r="AG393" s="1">
        <f t="shared" si="133"/>
        <v>1</v>
      </c>
      <c r="AH393" s="1">
        <f t="shared" si="134"/>
        <v>0</v>
      </c>
      <c r="AI393" s="1">
        <f t="shared" si="135"/>
        <v>1</v>
      </c>
    </row>
    <row r="394" spans="1:35" ht="14.25" customHeight="1" x14ac:dyDescent="0.25">
      <c r="A394" s="34">
        <v>0</v>
      </c>
      <c r="B394" s="34">
        <v>2</v>
      </c>
      <c r="C394" s="34">
        <v>7</v>
      </c>
      <c r="D394" s="35" t="s">
        <v>55</v>
      </c>
      <c r="E394" s="35" t="s">
        <v>28</v>
      </c>
      <c r="F394" s="35" t="s">
        <v>646</v>
      </c>
      <c r="G394" s="35" t="s">
        <v>537</v>
      </c>
      <c r="H394" s="35" t="s">
        <v>355</v>
      </c>
      <c r="I394" s="34" t="s">
        <v>395</v>
      </c>
      <c r="J394" s="34">
        <v>6</v>
      </c>
      <c r="K394" s="36" t="s">
        <v>716</v>
      </c>
      <c r="L394" s="36" t="s">
        <v>717</v>
      </c>
      <c r="M394" s="37" t="s">
        <v>735</v>
      </c>
      <c r="N394" s="37" t="s">
        <v>1768</v>
      </c>
      <c r="O394" s="38">
        <v>1</v>
      </c>
      <c r="P394" s="38"/>
      <c r="Q394" s="35"/>
      <c r="S394" s="1">
        <f t="shared" si="136"/>
        <v>0</v>
      </c>
      <c r="T394" s="1">
        <f t="shared" si="137"/>
        <v>0</v>
      </c>
      <c r="U394" s="1">
        <f t="shared" si="138"/>
        <v>0</v>
      </c>
      <c r="V394" s="1">
        <f t="shared" si="139"/>
        <v>0</v>
      </c>
      <c r="W394" s="1">
        <f t="shared" si="140"/>
        <v>0</v>
      </c>
      <c r="X394" s="1">
        <f t="shared" si="141"/>
        <v>1</v>
      </c>
      <c r="Y394" s="1">
        <f t="shared" si="142"/>
        <v>0</v>
      </c>
      <c r="Z394" s="1">
        <f t="shared" si="143"/>
        <v>0</v>
      </c>
      <c r="AA394" s="1">
        <f t="shared" si="144"/>
        <v>0</v>
      </c>
      <c r="AB394" s="1">
        <f t="shared" si="145"/>
        <v>0</v>
      </c>
      <c r="AD394" s="1">
        <f t="shared" si="146"/>
        <v>0</v>
      </c>
      <c r="AE394" s="1">
        <f t="shared" si="147"/>
        <v>1</v>
      </c>
      <c r="AF394" s="1">
        <f t="shared" si="132"/>
        <v>0</v>
      </c>
      <c r="AG394" s="1">
        <f t="shared" si="133"/>
        <v>1</v>
      </c>
      <c r="AH394" s="1">
        <f t="shared" si="134"/>
        <v>0</v>
      </c>
      <c r="AI394" s="1">
        <f t="shared" si="135"/>
        <v>1</v>
      </c>
    </row>
    <row r="395" spans="1:35" ht="14.25" customHeight="1" x14ac:dyDescent="0.25">
      <c r="A395" s="34">
        <v>1</v>
      </c>
      <c r="B395" s="34">
        <v>2</v>
      </c>
      <c r="C395" s="34">
        <v>7</v>
      </c>
      <c r="D395" s="35" t="s">
        <v>55</v>
      </c>
      <c r="E395" s="35" t="s">
        <v>28</v>
      </c>
      <c r="F395" s="35" t="s">
        <v>217</v>
      </c>
      <c r="G395" s="35" t="s">
        <v>39</v>
      </c>
      <c r="H395" s="35" t="s">
        <v>355</v>
      </c>
      <c r="I395" s="34" t="s">
        <v>30</v>
      </c>
      <c r="J395" s="34">
        <v>99</v>
      </c>
      <c r="K395" s="36" t="s">
        <v>716</v>
      </c>
      <c r="L395" s="36" t="s">
        <v>717</v>
      </c>
      <c r="M395" s="37" t="s">
        <v>735</v>
      </c>
      <c r="N395" s="37" t="s">
        <v>1768</v>
      </c>
      <c r="O395" s="38">
        <v>1</v>
      </c>
      <c r="P395" s="38"/>
      <c r="Q395" s="35"/>
      <c r="S395" s="1">
        <f t="shared" si="136"/>
        <v>0</v>
      </c>
      <c r="T395" s="1">
        <f t="shared" si="137"/>
        <v>0</v>
      </c>
      <c r="U395" s="1">
        <f t="shared" si="138"/>
        <v>0</v>
      </c>
      <c r="V395" s="1">
        <f t="shared" si="139"/>
        <v>0</v>
      </c>
      <c r="W395" s="1">
        <f t="shared" si="140"/>
        <v>0</v>
      </c>
      <c r="X395" s="1">
        <f t="shared" si="141"/>
        <v>0</v>
      </c>
      <c r="Y395" s="1">
        <f t="shared" si="142"/>
        <v>0</v>
      </c>
      <c r="Z395" s="1">
        <f t="shared" si="143"/>
        <v>0</v>
      </c>
      <c r="AA395" s="1">
        <f t="shared" si="144"/>
        <v>0</v>
      </c>
      <c r="AB395" s="1">
        <f t="shared" si="145"/>
        <v>0</v>
      </c>
      <c r="AD395" s="1">
        <f t="shared" si="146"/>
        <v>0</v>
      </c>
      <c r="AE395" s="1">
        <f t="shared" si="147"/>
        <v>1</v>
      </c>
      <c r="AF395" s="1">
        <f t="shared" ref="AF395:AF458" si="166">+O395*P395*(1-A395)</f>
        <v>0</v>
      </c>
      <c r="AG395" s="1">
        <f t="shared" ref="AG395:AG458" si="167">O395*(1-P395)*(1-A395)</f>
        <v>0</v>
      </c>
      <c r="AH395" s="1">
        <f t="shared" ref="AH395:AH458" si="168">+P395*(1-A395)</f>
        <v>0</v>
      </c>
      <c r="AI395" s="1">
        <f t="shared" ref="AI395:AI458" si="169">+(1-A395)*(1-P395)</f>
        <v>0</v>
      </c>
    </row>
    <row r="396" spans="1:35" ht="14.25" customHeight="1" x14ac:dyDescent="0.25">
      <c r="A396" s="34">
        <v>1</v>
      </c>
      <c r="B396" s="34">
        <v>2</v>
      </c>
      <c r="C396" s="34">
        <v>7</v>
      </c>
      <c r="D396" s="35" t="s">
        <v>55</v>
      </c>
      <c r="E396" s="35" t="s">
        <v>28</v>
      </c>
      <c r="F396" s="35" t="s">
        <v>216</v>
      </c>
      <c r="G396" s="35" t="s">
        <v>39</v>
      </c>
      <c r="H396" s="35" t="s">
        <v>355</v>
      </c>
      <c r="I396" s="34" t="s">
        <v>395</v>
      </c>
      <c r="J396" s="34">
        <v>99</v>
      </c>
      <c r="K396" s="36" t="s">
        <v>716</v>
      </c>
      <c r="L396" s="36" t="s">
        <v>717</v>
      </c>
      <c r="M396" s="37" t="s">
        <v>735</v>
      </c>
      <c r="N396" s="37" t="s">
        <v>1768</v>
      </c>
      <c r="O396" s="38">
        <v>1</v>
      </c>
      <c r="P396" s="38"/>
      <c r="Q396" s="35"/>
      <c r="S396" s="1">
        <f t="shared" si="136"/>
        <v>0</v>
      </c>
      <c r="T396" s="1">
        <f t="shared" si="137"/>
        <v>0</v>
      </c>
      <c r="U396" s="1">
        <f t="shared" si="138"/>
        <v>0</v>
      </c>
      <c r="V396" s="1">
        <f t="shared" si="139"/>
        <v>0</v>
      </c>
      <c r="W396" s="1">
        <f t="shared" si="140"/>
        <v>0</v>
      </c>
      <c r="X396" s="1">
        <f t="shared" si="141"/>
        <v>0</v>
      </c>
      <c r="Y396" s="1">
        <f t="shared" si="142"/>
        <v>0</v>
      </c>
      <c r="Z396" s="1">
        <f t="shared" si="143"/>
        <v>0</v>
      </c>
      <c r="AA396" s="1">
        <f t="shared" si="144"/>
        <v>0</v>
      </c>
      <c r="AB396" s="1">
        <f t="shared" si="145"/>
        <v>0</v>
      </c>
      <c r="AD396" s="1">
        <f t="shared" si="146"/>
        <v>0</v>
      </c>
      <c r="AE396" s="1">
        <f t="shared" si="147"/>
        <v>1</v>
      </c>
      <c r="AF396" s="1">
        <f t="shared" si="166"/>
        <v>0</v>
      </c>
      <c r="AG396" s="1">
        <f t="shared" si="167"/>
        <v>0</v>
      </c>
      <c r="AH396" s="1">
        <f t="shared" si="168"/>
        <v>0</v>
      </c>
      <c r="AI396" s="1">
        <f t="shared" si="169"/>
        <v>0</v>
      </c>
    </row>
    <row r="397" spans="1:35" ht="14.25" customHeight="1" x14ac:dyDescent="0.25">
      <c r="A397" s="34">
        <v>1</v>
      </c>
      <c r="B397" s="34">
        <v>2</v>
      </c>
      <c r="C397" s="34">
        <v>7</v>
      </c>
      <c r="D397" s="35" t="s">
        <v>55</v>
      </c>
      <c r="E397" s="35" t="s">
        <v>28</v>
      </c>
      <c r="F397" s="35" t="s">
        <v>218</v>
      </c>
      <c r="G397" s="35" t="s">
        <v>219</v>
      </c>
      <c r="H397" s="35" t="s">
        <v>355</v>
      </c>
      <c r="I397" s="34" t="s">
        <v>396</v>
      </c>
      <c r="J397" s="34">
        <v>99</v>
      </c>
      <c r="K397" s="36" t="s">
        <v>716</v>
      </c>
      <c r="L397" s="36" t="s">
        <v>717</v>
      </c>
      <c r="M397" s="37" t="s">
        <v>735</v>
      </c>
      <c r="N397" s="37" t="s">
        <v>1768</v>
      </c>
      <c r="O397" s="38">
        <v>1</v>
      </c>
      <c r="P397" s="38"/>
      <c r="Q397" s="35"/>
      <c r="S397" s="1">
        <f t="shared" si="136"/>
        <v>0</v>
      </c>
      <c r="T397" s="1">
        <f t="shared" si="137"/>
        <v>0</v>
      </c>
      <c r="U397" s="1">
        <f t="shared" si="138"/>
        <v>0</v>
      </c>
      <c r="V397" s="1">
        <f t="shared" si="139"/>
        <v>0</v>
      </c>
      <c r="W397" s="1">
        <f t="shared" si="140"/>
        <v>0</v>
      </c>
      <c r="X397" s="1">
        <f t="shared" si="141"/>
        <v>0</v>
      </c>
      <c r="Y397" s="1">
        <f t="shared" si="142"/>
        <v>0</v>
      </c>
      <c r="Z397" s="1">
        <f t="shared" si="143"/>
        <v>0</v>
      </c>
      <c r="AA397" s="1">
        <f t="shared" si="144"/>
        <v>0</v>
      </c>
      <c r="AB397" s="1">
        <f t="shared" si="145"/>
        <v>0</v>
      </c>
      <c r="AD397" s="1">
        <f t="shared" si="146"/>
        <v>0</v>
      </c>
      <c r="AE397" s="1">
        <f t="shared" si="147"/>
        <v>1</v>
      </c>
      <c r="AF397" s="1">
        <f t="shared" si="166"/>
        <v>0</v>
      </c>
      <c r="AG397" s="1">
        <f t="shared" si="167"/>
        <v>0</v>
      </c>
      <c r="AH397" s="1">
        <f t="shared" si="168"/>
        <v>0</v>
      </c>
      <c r="AI397" s="1">
        <f t="shared" si="169"/>
        <v>0</v>
      </c>
    </row>
    <row r="398" spans="1:35" ht="14.25" customHeight="1" x14ac:dyDescent="0.25">
      <c r="A398" s="47">
        <v>0</v>
      </c>
      <c r="B398" s="47">
        <v>2</v>
      </c>
      <c r="C398" s="47">
        <v>7</v>
      </c>
      <c r="D398" s="48" t="s">
        <v>68</v>
      </c>
      <c r="E398" s="48" t="s">
        <v>28</v>
      </c>
      <c r="F398" s="48" t="s">
        <v>254</v>
      </c>
      <c r="G398" s="48" t="s">
        <v>255</v>
      </c>
      <c r="H398" s="48" t="s">
        <v>355</v>
      </c>
      <c r="I398" s="47" t="s">
        <v>415</v>
      </c>
      <c r="J398" s="47">
        <v>99</v>
      </c>
      <c r="K398" s="49" t="s">
        <v>717</v>
      </c>
      <c r="L398" s="49" t="s">
        <v>717</v>
      </c>
      <c r="M398" s="50" t="s">
        <v>735</v>
      </c>
      <c r="N398" s="50" t="s">
        <v>1809</v>
      </c>
      <c r="O398" s="51"/>
      <c r="P398" s="51"/>
      <c r="Q398" s="48"/>
      <c r="S398" s="1">
        <f t="shared" si="136"/>
        <v>0</v>
      </c>
      <c r="T398" s="1">
        <f t="shared" si="137"/>
        <v>0</v>
      </c>
      <c r="U398" s="1">
        <f t="shared" si="138"/>
        <v>0</v>
      </c>
      <c r="V398" s="1">
        <f t="shared" si="139"/>
        <v>0</v>
      </c>
      <c r="W398" s="1">
        <f t="shared" si="140"/>
        <v>0</v>
      </c>
      <c r="X398" s="1">
        <f t="shared" si="141"/>
        <v>0</v>
      </c>
      <c r="Y398" s="1">
        <f t="shared" si="142"/>
        <v>0</v>
      </c>
      <c r="Z398" s="1">
        <f t="shared" si="143"/>
        <v>0</v>
      </c>
      <c r="AA398" s="1">
        <f t="shared" si="144"/>
        <v>0</v>
      </c>
      <c r="AB398" s="1">
        <f t="shared" si="145"/>
        <v>0</v>
      </c>
      <c r="AD398" s="1">
        <f t="shared" si="146"/>
        <v>0</v>
      </c>
      <c r="AE398" s="1">
        <f t="shared" si="147"/>
        <v>0</v>
      </c>
      <c r="AF398" s="1">
        <f t="shared" si="166"/>
        <v>0</v>
      </c>
      <c r="AG398" s="1">
        <f t="shared" si="167"/>
        <v>0</v>
      </c>
      <c r="AH398" s="1">
        <f t="shared" si="168"/>
        <v>0</v>
      </c>
      <c r="AI398" s="1">
        <f t="shared" si="169"/>
        <v>1</v>
      </c>
    </row>
    <row r="399" spans="1:35" ht="14.25" customHeight="1" x14ac:dyDescent="0.25">
      <c r="A399" s="15">
        <v>0</v>
      </c>
      <c r="B399" s="15">
        <v>2</v>
      </c>
      <c r="C399" s="15">
        <v>7</v>
      </c>
      <c r="D399" s="16" t="s">
        <v>69</v>
      </c>
      <c r="E399" s="16" t="s">
        <v>28</v>
      </c>
      <c r="F399" s="16" t="s">
        <v>256</v>
      </c>
      <c r="G399" s="16" t="s">
        <v>208</v>
      </c>
      <c r="H399" s="16" t="s">
        <v>355</v>
      </c>
      <c r="I399" s="15" t="s">
        <v>416</v>
      </c>
      <c r="J399" s="15">
        <v>99</v>
      </c>
      <c r="K399" s="10" t="s">
        <v>959</v>
      </c>
      <c r="L399" s="10" t="s">
        <v>717</v>
      </c>
      <c r="M399" s="19" t="s">
        <v>735</v>
      </c>
      <c r="N399" s="17"/>
      <c r="Q399" s="16"/>
      <c r="S399" s="1">
        <f t="shared" ref="S399:S465" si="170">IF(J399=$S$7,1,0)</f>
        <v>0</v>
      </c>
      <c r="T399" s="1">
        <f t="shared" ref="T399:T465" si="171">IF(J399=$T$7,1,0)</f>
        <v>0</v>
      </c>
      <c r="U399" s="1">
        <f t="shared" ref="U399:U465" si="172">IF(J399=$U$7,1,0)</f>
        <v>0</v>
      </c>
      <c r="V399" s="1">
        <f t="shared" ref="V399:V465" si="173">IF(J399=$V$7,1,0)</f>
        <v>0</v>
      </c>
      <c r="W399" s="1">
        <f t="shared" ref="W399:W465" si="174">IF(J399=$W$7,1,0)</f>
        <v>0</v>
      </c>
      <c r="X399" s="1">
        <f t="shared" ref="X399:X465" si="175">IF(J399=$X$7,1,0)</f>
        <v>0</v>
      </c>
      <c r="Y399" s="1">
        <f t="shared" ref="Y399:Y465" si="176">IF(J399=$Y$7,1,0)</f>
        <v>0</v>
      </c>
      <c r="Z399" s="1">
        <f t="shared" ref="Z399:Z465" si="177">IF(J399=$Z$7,1,0)</f>
        <v>0</v>
      </c>
      <c r="AA399" s="1">
        <f t="shared" ref="AA399:AA465" si="178">IF(J399=$AA$7,1,0)</f>
        <v>0</v>
      </c>
      <c r="AB399" s="1">
        <f t="shared" ref="AB399:AB465" si="179">IF(J399=$AB$7,1,0)</f>
        <v>0</v>
      </c>
      <c r="AD399" s="1">
        <f t="shared" ref="AD399:AD465" si="180">+O399*P399</f>
        <v>0</v>
      </c>
      <c r="AE399" s="1">
        <f t="shared" ref="AE399:AE465" si="181">O399*(1-P399)</f>
        <v>0</v>
      </c>
      <c r="AF399" s="1">
        <f t="shared" si="166"/>
        <v>0</v>
      </c>
      <c r="AG399" s="1">
        <f t="shared" si="167"/>
        <v>0</v>
      </c>
      <c r="AH399" s="1">
        <f t="shared" si="168"/>
        <v>0</v>
      </c>
      <c r="AI399" s="1">
        <f t="shared" si="169"/>
        <v>1</v>
      </c>
    </row>
    <row r="400" spans="1:35" ht="14.25" customHeight="1" x14ac:dyDescent="0.25">
      <c r="A400" s="15">
        <v>1</v>
      </c>
      <c r="B400" s="15">
        <v>2</v>
      </c>
      <c r="C400" s="15">
        <v>7</v>
      </c>
      <c r="D400" s="16" t="s">
        <v>69</v>
      </c>
      <c r="E400" s="16" t="s">
        <v>28</v>
      </c>
      <c r="F400" s="20" t="s">
        <v>1881</v>
      </c>
      <c r="G400" s="16" t="s">
        <v>257</v>
      </c>
      <c r="H400" s="16" t="s">
        <v>355</v>
      </c>
      <c r="I400" s="15" t="s">
        <v>417</v>
      </c>
      <c r="J400" s="15">
        <v>99</v>
      </c>
      <c r="K400" s="10" t="s">
        <v>959</v>
      </c>
      <c r="L400" s="10" t="s">
        <v>717</v>
      </c>
      <c r="M400" s="19" t="s">
        <v>735</v>
      </c>
      <c r="N400" s="17"/>
      <c r="Q400" s="16"/>
      <c r="S400" s="1">
        <f t="shared" si="170"/>
        <v>0</v>
      </c>
      <c r="T400" s="1">
        <f t="shared" si="171"/>
        <v>0</v>
      </c>
      <c r="U400" s="1">
        <f t="shared" si="172"/>
        <v>0</v>
      </c>
      <c r="V400" s="1">
        <f t="shared" si="173"/>
        <v>0</v>
      </c>
      <c r="W400" s="1">
        <f t="shared" si="174"/>
        <v>0</v>
      </c>
      <c r="X400" s="1">
        <f t="shared" si="175"/>
        <v>0</v>
      </c>
      <c r="Y400" s="1">
        <f t="shared" si="176"/>
        <v>0</v>
      </c>
      <c r="Z400" s="1">
        <f t="shared" si="177"/>
        <v>0</v>
      </c>
      <c r="AA400" s="1">
        <f t="shared" si="178"/>
        <v>0</v>
      </c>
      <c r="AB400" s="1">
        <f t="shared" si="179"/>
        <v>0</v>
      </c>
      <c r="AD400" s="1">
        <f t="shared" si="180"/>
        <v>0</v>
      </c>
      <c r="AE400" s="1">
        <f t="shared" si="181"/>
        <v>0</v>
      </c>
      <c r="AF400" s="1">
        <f t="shared" si="166"/>
        <v>0</v>
      </c>
      <c r="AG400" s="1">
        <f t="shared" si="167"/>
        <v>0</v>
      </c>
      <c r="AH400" s="1">
        <f t="shared" si="168"/>
        <v>0</v>
      </c>
      <c r="AI400" s="1">
        <f t="shared" si="169"/>
        <v>0</v>
      </c>
    </row>
    <row r="401" spans="1:35" ht="14.25" customHeight="1" x14ac:dyDescent="0.25">
      <c r="A401" s="15">
        <v>1</v>
      </c>
      <c r="B401" s="15">
        <v>2</v>
      </c>
      <c r="C401" s="15">
        <v>7</v>
      </c>
      <c r="D401" s="16" t="s">
        <v>69</v>
      </c>
      <c r="E401" s="16" t="s">
        <v>28</v>
      </c>
      <c r="F401" s="16" t="s">
        <v>572</v>
      </c>
      <c r="G401" s="16" t="s">
        <v>573</v>
      </c>
      <c r="H401" s="16" t="s">
        <v>355</v>
      </c>
      <c r="I401" s="15" t="s">
        <v>582</v>
      </c>
      <c r="J401" s="15">
        <v>99</v>
      </c>
      <c r="K401" s="10" t="s">
        <v>959</v>
      </c>
      <c r="L401" s="10" t="s">
        <v>717</v>
      </c>
      <c r="M401" s="19" t="s">
        <v>735</v>
      </c>
      <c r="N401" s="17"/>
      <c r="Q401" s="16"/>
      <c r="S401" s="1">
        <f t="shared" si="170"/>
        <v>0</v>
      </c>
      <c r="T401" s="1">
        <f t="shared" si="171"/>
        <v>0</v>
      </c>
      <c r="U401" s="1">
        <f t="shared" si="172"/>
        <v>0</v>
      </c>
      <c r="V401" s="1">
        <f t="shared" si="173"/>
        <v>0</v>
      </c>
      <c r="W401" s="1">
        <f t="shared" si="174"/>
        <v>0</v>
      </c>
      <c r="X401" s="1">
        <f t="shared" si="175"/>
        <v>0</v>
      </c>
      <c r="Y401" s="1">
        <f t="shared" si="176"/>
        <v>0</v>
      </c>
      <c r="Z401" s="1">
        <f t="shared" si="177"/>
        <v>0</v>
      </c>
      <c r="AA401" s="1">
        <f t="shared" si="178"/>
        <v>0</v>
      </c>
      <c r="AB401" s="1">
        <f t="shared" si="179"/>
        <v>0</v>
      </c>
      <c r="AD401" s="1">
        <f t="shared" si="180"/>
        <v>0</v>
      </c>
      <c r="AE401" s="1">
        <f t="shared" si="181"/>
        <v>0</v>
      </c>
      <c r="AF401" s="1">
        <f t="shared" si="166"/>
        <v>0</v>
      </c>
      <c r="AG401" s="1">
        <f t="shared" si="167"/>
        <v>0</v>
      </c>
      <c r="AH401" s="1">
        <f t="shared" si="168"/>
        <v>0</v>
      </c>
      <c r="AI401" s="1">
        <f t="shared" si="169"/>
        <v>0</v>
      </c>
    </row>
    <row r="402" spans="1:35" ht="14.25" customHeight="1" x14ac:dyDescent="0.25">
      <c r="A402" s="47">
        <v>0</v>
      </c>
      <c r="B402" s="47">
        <v>2</v>
      </c>
      <c r="C402" s="47">
        <v>7</v>
      </c>
      <c r="D402" s="48" t="s">
        <v>71</v>
      </c>
      <c r="E402" s="48" t="s">
        <v>28</v>
      </c>
      <c r="F402" s="48" t="s">
        <v>1356</v>
      </c>
      <c r="G402" s="48" t="s">
        <v>260</v>
      </c>
      <c r="H402" s="48" t="s">
        <v>355</v>
      </c>
      <c r="I402" s="47" t="s">
        <v>419</v>
      </c>
      <c r="J402" s="47">
        <v>99</v>
      </c>
      <c r="K402" s="49" t="s">
        <v>717</v>
      </c>
      <c r="L402" s="49" t="s">
        <v>717</v>
      </c>
      <c r="M402" s="50" t="s">
        <v>735</v>
      </c>
      <c r="N402" s="50" t="s">
        <v>1809</v>
      </c>
      <c r="O402" s="51"/>
      <c r="P402" s="51"/>
      <c r="Q402" s="48"/>
      <c r="S402" s="1">
        <f t="shared" si="170"/>
        <v>0</v>
      </c>
      <c r="T402" s="1">
        <f t="shared" si="171"/>
        <v>0</v>
      </c>
      <c r="U402" s="1">
        <f t="shared" si="172"/>
        <v>0</v>
      </c>
      <c r="V402" s="1">
        <f t="shared" si="173"/>
        <v>0</v>
      </c>
      <c r="W402" s="1">
        <f t="shared" si="174"/>
        <v>0</v>
      </c>
      <c r="X402" s="1">
        <f t="shared" si="175"/>
        <v>0</v>
      </c>
      <c r="Y402" s="1">
        <f t="shared" si="176"/>
        <v>0</v>
      </c>
      <c r="Z402" s="1">
        <f t="shared" si="177"/>
        <v>0</v>
      </c>
      <c r="AA402" s="1">
        <f t="shared" si="178"/>
        <v>0</v>
      </c>
      <c r="AB402" s="1">
        <f t="shared" si="179"/>
        <v>0</v>
      </c>
      <c r="AD402" s="1">
        <f t="shared" si="180"/>
        <v>0</v>
      </c>
      <c r="AE402" s="1">
        <f t="shared" si="181"/>
        <v>0</v>
      </c>
      <c r="AF402" s="1">
        <f t="shared" si="166"/>
        <v>0</v>
      </c>
      <c r="AG402" s="1">
        <f t="shared" si="167"/>
        <v>0</v>
      </c>
      <c r="AH402" s="1">
        <f t="shared" si="168"/>
        <v>0</v>
      </c>
      <c r="AI402" s="1">
        <f t="shared" si="169"/>
        <v>1</v>
      </c>
    </row>
    <row r="403" spans="1:35" ht="14.25" customHeight="1" x14ac:dyDescent="0.25">
      <c r="A403" s="47">
        <v>0</v>
      </c>
      <c r="B403" s="47">
        <v>2</v>
      </c>
      <c r="C403" s="47">
        <v>7</v>
      </c>
      <c r="D403" s="48" t="s">
        <v>1066</v>
      </c>
      <c r="E403" s="48" t="s">
        <v>28</v>
      </c>
      <c r="F403" s="48" t="s">
        <v>1067</v>
      </c>
      <c r="G403" s="48" t="s">
        <v>1068</v>
      </c>
      <c r="H403" s="48" t="s">
        <v>355</v>
      </c>
      <c r="I403" s="47" t="s">
        <v>1069</v>
      </c>
      <c r="J403" s="47">
        <v>99</v>
      </c>
      <c r="K403" s="49" t="s">
        <v>717</v>
      </c>
      <c r="L403" s="49" t="s">
        <v>717</v>
      </c>
      <c r="M403" s="50" t="s">
        <v>735</v>
      </c>
      <c r="N403" s="50" t="s">
        <v>1809</v>
      </c>
      <c r="O403" s="51"/>
      <c r="P403" s="51"/>
      <c r="Q403" s="48"/>
      <c r="S403" s="1">
        <f t="shared" si="170"/>
        <v>0</v>
      </c>
      <c r="T403" s="1">
        <f t="shared" si="171"/>
        <v>0</v>
      </c>
      <c r="U403" s="1">
        <f t="shared" si="172"/>
        <v>0</v>
      </c>
      <c r="V403" s="1">
        <f t="shared" si="173"/>
        <v>0</v>
      </c>
      <c r="W403" s="1">
        <f t="shared" si="174"/>
        <v>0</v>
      </c>
      <c r="X403" s="1">
        <f t="shared" si="175"/>
        <v>0</v>
      </c>
      <c r="Y403" s="1">
        <f t="shared" si="176"/>
        <v>0</v>
      </c>
      <c r="Z403" s="1">
        <f t="shared" si="177"/>
        <v>0</v>
      </c>
      <c r="AA403" s="1">
        <f t="shared" si="178"/>
        <v>0</v>
      </c>
      <c r="AB403" s="1">
        <f t="shared" si="179"/>
        <v>0</v>
      </c>
      <c r="AD403" s="1">
        <f t="shared" si="180"/>
        <v>0</v>
      </c>
      <c r="AE403" s="1">
        <f t="shared" si="181"/>
        <v>0</v>
      </c>
      <c r="AF403" s="1">
        <f t="shared" si="166"/>
        <v>0</v>
      </c>
      <c r="AG403" s="1">
        <f t="shared" si="167"/>
        <v>0</v>
      </c>
      <c r="AH403" s="1">
        <f t="shared" si="168"/>
        <v>0</v>
      </c>
      <c r="AI403" s="1">
        <f t="shared" si="169"/>
        <v>1</v>
      </c>
    </row>
    <row r="404" spans="1:35" ht="14.25" customHeight="1" x14ac:dyDescent="0.25">
      <c r="A404" s="34">
        <v>0</v>
      </c>
      <c r="B404" s="34">
        <v>2</v>
      </c>
      <c r="C404" s="34">
        <v>7</v>
      </c>
      <c r="D404" s="35" t="s">
        <v>1813</v>
      </c>
      <c r="E404" s="35" t="s">
        <v>157</v>
      </c>
      <c r="F404" s="35" t="s">
        <v>1814</v>
      </c>
      <c r="G404" s="35"/>
      <c r="H404" s="35" t="s">
        <v>355</v>
      </c>
      <c r="I404" s="34" t="s">
        <v>1815</v>
      </c>
      <c r="J404" s="34">
        <v>99</v>
      </c>
      <c r="K404" s="36" t="s">
        <v>707</v>
      </c>
      <c r="L404" s="36"/>
      <c r="M404" s="37"/>
      <c r="N404" s="37" t="s">
        <v>1734</v>
      </c>
      <c r="O404" s="38">
        <v>1</v>
      </c>
      <c r="P404" s="38">
        <v>1</v>
      </c>
      <c r="Q404" s="35"/>
      <c r="S404" s="1">
        <f t="shared" si="170"/>
        <v>0</v>
      </c>
      <c r="T404" s="1">
        <f t="shared" si="171"/>
        <v>0</v>
      </c>
      <c r="U404" s="1">
        <f t="shared" si="172"/>
        <v>0</v>
      </c>
      <c r="V404" s="1">
        <f t="shared" si="173"/>
        <v>0</v>
      </c>
      <c r="W404" s="1">
        <f t="shared" si="174"/>
        <v>0</v>
      </c>
      <c r="X404" s="1">
        <f t="shared" si="175"/>
        <v>0</v>
      </c>
      <c r="Y404" s="1">
        <f t="shared" si="176"/>
        <v>0</v>
      </c>
      <c r="Z404" s="1">
        <f t="shared" si="177"/>
        <v>0</v>
      </c>
      <c r="AA404" s="1">
        <f t="shared" si="178"/>
        <v>0</v>
      </c>
      <c r="AB404" s="1">
        <f t="shared" si="179"/>
        <v>0</v>
      </c>
      <c r="AD404" s="1">
        <f t="shared" si="180"/>
        <v>1</v>
      </c>
      <c r="AE404" s="1">
        <f t="shared" si="181"/>
        <v>0</v>
      </c>
      <c r="AF404" s="1">
        <f t="shared" si="166"/>
        <v>1</v>
      </c>
      <c r="AG404" s="1">
        <f t="shared" si="167"/>
        <v>0</v>
      </c>
      <c r="AH404" s="1">
        <f t="shared" si="168"/>
        <v>1</v>
      </c>
      <c r="AI404" s="1">
        <f t="shared" si="169"/>
        <v>0</v>
      </c>
    </row>
    <row r="405" spans="1:35" ht="14.25" customHeight="1" x14ac:dyDescent="0.25">
      <c r="A405" s="34">
        <v>0</v>
      </c>
      <c r="B405" s="34">
        <v>2</v>
      </c>
      <c r="C405" s="34">
        <v>7</v>
      </c>
      <c r="D405" s="35" t="s">
        <v>1185</v>
      </c>
      <c r="E405" s="35" t="s">
        <v>157</v>
      </c>
      <c r="F405" s="35" t="s">
        <v>1186</v>
      </c>
      <c r="G405" s="35" t="s">
        <v>294</v>
      </c>
      <c r="H405" s="35" t="s">
        <v>355</v>
      </c>
      <c r="I405" s="34" t="s">
        <v>1187</v>
      </c>
      <c r="J405" s="34">
        <v>99</v>
      </c>
      <c r="K405" s="36" t="s">
        <v>717</v>
      </c>
      <c r="L405" s="36" t="s">
        <v>726</v>
      </c>
      <c r="M405" s="37" t="s">
        <v>1441</v>
      </c>
      <c r="N405" s="37" t="s">
        <v>1755</v>
      </c>
      <c r="O405" s="38">
        <v>1</v>
      </c>
      <c r="P405" s="38"/>
      <c r="Q405" s="35"/>
      <c r="S405" s="1">
        <f t="shared" si="170"/>
        <v>0</v>
      </c>
      <c r="T405" s="1">
        <f t="shared" si="171"/>
        <v>0</v>
      </c>
      <c r="U405" s="1">
        <f t="shared" si="172"/>
        <v>0</v>
      </c>
      <c r="V405" s="1">
        <f t="shared" si="173"/>
        <v>0</v>
      </c>
      <c r="W405" s="1">
        <f t="shared" si="174"/>
        <v>0</v>
      </c>
      <c r="X405" s="1">
        <f t="shared" si="175"/>
        <v>0</v>
      </c>
      <c r="Y405" s="1">
        <f t="shared" si="176"/>
        <v>0</v>
      </c>
      <c r="Z405" s="1">
        <f t="shared" si="177"/>
        <v>0</v>
      </c>
      <c r="AA405" s="1">
        <f t="shared" si="178"/>
        <v>0</v>
      </c>
      <c r="AB405" s="1">
        <f t="shared" si="179"/>
        <v>0</v>
      </c>
      <c r="AD405" s="1">
        <f t="shared" si="180"/>
        <v>0</v>
      </c>
      <c r="AE405" s="1">
        <f t="shared" si="181"/>
        <v>1</v>
      </c>
      <c r="AF405" s="1">
        <f t="shared" si="166"/>
        <v>0</v>
      </c>
      <c r="AG405" s="1">
        <f t="shared" si="167"/>
        <v>1</v>
      </c>
      <c r="AH405" s="1">
        <f t="shared" si="168"/>
        <v>0</v>
      </c>
      <c r="AI405" s="1">
        <f t="shared" si="169"/>
        <v>1</v>
      </c>
    </row>
    <row r="406" spans="1:35" ht="14.25" customHeight="1" x14ac:dyDescent="0.25">
      <c r="A406" s="34">
        <v>0</v>
      </c>
      <c r="B406" s="34">
        <v>2</v>
      </c>
      <c r="C406" s="34">
        <v>7</v>
      </c>
      <c r="D406" s="35" t="s">
        <v>1159</v>
      </c>
      <c r="E406" s="35" t="s">
        <v>1160</v>
      </c>
      <c r="F406" s="39" t="s">
        <v>1885</v>
      </c>
      <c r="G406" s="35" t="s">
        <v>630</v>
      </c>
      <c r="H406" s="35" t="s">
        <v>355</v>
      </c>
      <c r="I406" s="34" t="s">
        <v>1161</v>
      </c>
      <c r="J406" s="34">
        <v>99</v>
      </c>
      <c r="K406" s="36" t="s">
        <v>717</v>
      </c>
      <c r="L406" s="36" t="s">
        <v>717</v>
      </c>
      <c r="M406" s="37" t="s">
        <v>735</v>
      </c>
      <c r="N406" s="37" t="s">
        <v>1750</v>
      </c>
      <c r="O406" s="38">
        <v>1</v>
      </c>
      <c r="P406" s="38"/>
      <c r="Q406" s="39" t="s">
        <v>1905</v>
      </c>
      <c r="S406" s="1">
        <f t="shared" si="170"/>
        <v>0</v>
      </c>
      <c r="T406" s="1">
        <f t="shared" si="171"/>
        <v>0</v>
      </c>
      <c r="U406" s="1">
        <f t="shared" si="172"/>
        <v>0</v>
      </c>
      <c r="V406" s="1">
        <f t="shared" si="173"/>
        <v>0</v>
      </c>
      <c r="W406" s="1">
        <f t="shared" si="174"/>
        <v>0</v>
      </c>
      <c r="X406" s="1">
        <f t="shared" si="175"/>
        <v>0</v>
      </c>
      <c r="Y406" s="1">
        <f t="shared" si="176"/>
        <v>0</v>
      </c>
      <c r="Z406" s="1">
        <f t="shared" si="177"/>
        <v>0</v>
      </c>
      <c r="AA406" s="1">
        <f t="shared" si="178"/>
        <v>0</v>
      </c>
      <c r="AB406" s="1">
        <f t="shared" si="179"/>
        <v>0</v>
      </c>
      <c r="AD406" s="1">
        <f t="shared" si="180"/>
        <v>0</v>
      </c>
      <c r="AE406" s="1">
        <f t="shared" si="181"/>
        <v>1</v>
      </c>
      <c r="AF406" s="1">
        <f t="shared" si="166"/>
        <v>0</v>
      </c>
      <c r="AG406" s="1">
        <f t="shared" si="167"/>
        <v>1</v>
      </c>
      <c r="AH406" s="1">
        <f t="shared" si="168"/>
        <v>0</v>
      </c>
      <c r="AI406" s="1">
        <f t="shared" si="169"/>
        <v>1</v>
      </c>
    </row>
    <row r="407" spans="1:35" ht="14.25" customHeight="1" x14ac:dyDescent="0.25">
      <c r="A407" s="34">
        <v>0</v>
      </c>
      <c r="B407" s="34">
        <v>2</v>
      </c>
      <c r="C407" s="34">
        <v>7</v>
      </c>
      <c r="D407" s="35" t="s">
        <v>544</v>
      </c>
      <c r="E407" s="35" t="s">
        <v>159</v>
      </c>
      <c r="F407" s="35" t="s">
        <v>196</v>
      </c>
      <c r="G407" s="35" t="s">
        <v>197</v>
      </c>
      <c r="H407" s="35" t="s">
        <v>355</v>
      </c>
      <c r="I407" s="34" t="s">
        <v>552</v>
      </c>
      <c r="J407" s="34">
        <v>99</v>
      </c>
      <c r="K407" s="36" t="s">
        <v>959</v>
      </c>
      <c r="L407" s="36" t="s">
        <v>700</v>
      </c>
      <c r="M407" s="37" t="s">
        <v>1443</v>
      </c>
      <c r="N407" s="37" t="s">
        <v>1755</v>
      </c>
      <c r="O407" s="38">
        <v>1</v>
      </c>
      <c r="P407" s="38"/>
      <c r="Q407" s="35"/>
      <c r="S407" s="1">
        <f t="shared" si="170"/>
        <v>0</v>
      </c>
      <c r="T407" s="1">
        <f t="shared" si="171"/>
        <v>0</v>
      </c>
      <c r="U407" s="1">
        <f t="shared" si="172"/>
        <v>0</v>
      </c>
      <c r="V407" s="1">
        <f t="shared" si="173"/>
        <v>0</v>
      </c>
      <c r="W407" s="1">
        <f t="shared" si="174"/>
        <v>0</v>
      </c>
      <c r="X407" s="1">
        <f t="shared" si="175"/>
        <v>0</v>
      </c>
      <c r="Y407" s="1">
        <f t="shared" si="176"/>
        <v>0</v>
      </c>
      <c r="Z407" s="1">
        <f t="shared" si="177"/>
        <v>0</v>
      </c>
      <c r="AA407" s="1">
        <f t="shared" si="178"/>
        <v>0</v>
      </c>
      <c r="AB407" s="1">
        <f t="shared" si="179"/>
        <v>0</v>
      </c>
      <c r="AD407" s="1">
        <f t="shared" si="180"/>
        <v>0</v>
      </c>
      <c r="AE407" s="1">
        <f t="shared" si="181"/>
        <v>1</v>
      </c>
      <c r="AF407" s="1">
        <f t="shared" si="166"/>
        <v>0</v>
      </c>
      <c r="AG407" s="1">
        <f t="shared" si="167"/>
        <v>1</v>
      </c>
      <c r="AH407" s="1">
        <f t="shared" si="168"/>
        <v>0</v>
      </c>
      <c r="AI407" s="1">
        <f t="shared" si="169"/>
        <v>1</v>
      </c>
    </row>
    <row r="408" spans="1:35" ht="14.25" customHeight="1" x14ac:dyDescent="0.25">
      <c r="A408" s="15">
        <v>0</v>
      </c>
      <c r="B408" s="15">
        <v>2</v>
      </c>
      <c r="C408" s="15">
        <v>7</v>
      </c>
      <c r="D408" s="16" t="s">
        <v>46</v>
      </c>
      <c r="E408" s="16" t="s">
        <v>157</v>
      </c>
      <c r="F408" s="16" t="s">
        <v>184</v>
      </c>
      <c r="G408" s="16" t="s">
        <v>180</v>
      </c>
      <c r="H408" s="16" t="s">
        <v>355</v>
      </c>
      <c r="I408" s="15" t="s">
        <v>383</v>
      </c>
      <c r="J408" s="15">
        <v>10</v>
      </c>
      <c r="K408" s="10" t="s">
        <v>959</v>
      </c>
      <c r="L408" s="10" t="s">
        <v>726</v>
      </c>
      <c r="M408" s="19" t="s">
        <v>1441</v>
      </c>
      <c r="N408" s="19"/>
      <c r="Q408" s="16"/>
      <c r="S408" s="1">
        <f t="shared" si="170"/>
        <v>0</v>
      </c>
      <c r="T408" s="1">
        <f t="shared" si="171"/>
        <v>0</v>
      </c>
      <c r="U408" s="1">
        <f t="shared" si="172"/>
        <v>0</v>
      </c>
      <c r="V408" s="1">
        <f t="shared" si="173"/>
        <v>0</v>
      </c>
      <c r="W408" s="1">
        <f t="shared" si="174"/>
        <v>0</v>
      </c>
      <c r="X408" s="1">
        <f t="shared" si="175"/>
        <v>0</v>
      </c>
      <c r="Y408" s="1">
        <f t="shared" si="176"/>
        <v>0</v>
      </c>
      <c r="Z408" s="1">
        <f t="shared" si="177"/>
        <v>0</v>
      </c>
      <c r="AA408" s="1">
        <f t="shared" si="178"/>
        <v>0</v>
      </c>
      <c r="AB408" s="1">
        <f t="shared" si="179"/>
        <v>1</v>
      </c>
      <c r="AD408" s="1">
        <f t="shared" si="180"/>
        <v>0</v>
      </c>
      <c r="AE408" s="1">
        <f t="shared" si="181"/>
        <v>0</v>
      </c>
      <c r="AF408" s="1">
        <f t="shared" si="166"/>
        <v>0</v>
      </c>
      <c r="AG408" s="1">
        <f t="shared" si="167"/>
        <v>0</v>
      </c>
      <c r="AH408" s="1">
        <f t="shared" si="168"/>
        <v>0</v>
      </c>
      <c r="AI408" s="1">
        <f t="shared" si="169"/>
        <v>1</v>
      </c>
    </row>
    <row r="409" spans="1:35" ht="14.25" customHeight="1" x14ac:dyDescent="0.25">
      <c r="A409" s="47">
        <v>0</v>
      </c>
      <c r="B409" s="47">
        <v>2</v>
      </c>
      <c r="C409" s="47">
        <v>7</v>
      </c>
      <c r="D409" s="48" t="s">
        <v>67</v>
      </c>
      <c r="E409" s="48" t="s">
        <v>28</v>
      </c>
      <c r="F409" s="48" t="s">
        <v>249</v>
      </c>
      <c r="G409" s="48" t="s">
        <v>250</v>
      </c>
      <c r="H409" s="48" t="s">
        <v>355</v>
      </c>
      <c r="I409" s="47" t="s">
        <v>412</v>
      </c>
      <c r="J409" s="47">
        <v>7</v>
      </c>
      <c r="K409" s="49" t="s">
        <v>717</v>
      </c>
      <c r="L409" s="49" t="s">
        <v>717</v>
      </c>
      <c r="M409" s="50" t="s">
        <v>735</v>
      </c>
      <c r="N409" s="50" t="s">
        <v>1741</v>
      </c>
      <c r="O409" s="51"/>
      <c r="P409" s="51"/>
      <c r="Q409" s="48"/>
      <c r="S409" s="1">
        <f t="shared" si="170"/>
        <v>0</v>
      </c>
      <c r="T409" s="1">
        <f t="shared" si="171"/>
        <v>0</v>
      </c>
      <c r="U409" s="1">
        <f t="shared" si="172"/>
        <v>0</v>
      </c>
      <c r="V409" s="1">
        <f t="shared" si="173"/>
        <v>0</v>
      </c>
      <c r="W409" s="1">
        <f t="shared" si="174"/>
        <v>0</v>
      </c>
      <c r="X409" s="1">
        <f t="shared" si="175"/>
        <v>0</v>
      </c>
      <c r="Y409" s="1">
        <f t="shared" si="176"/>
        <v>1</v>
      </c>
      <c r="Z409" s="1">
        <f t="shared" si="177"/>
        <v>0</v>
      </c>
      <c r="AA409" s="1">
        <f t="shared" si="178"/>
        <v>0</v>
      </c>
      <c r="AB409" s="1">
        <f t="shared" si="179"/>
        <v>0</v>
      </c>
      <c r="AD409" s="1">
        <f t="shared" si="180"/>
        <v>0</v>
      </c>
      <c r="AE409" s="1">
        <f t="shared" si="181"/>
        <v>0</v>
      </c>
      <c r="AF409" s="1">
        <f t="shared" si="166"/>
        <v>0</v>
      </c>
      <c r="AG409" s="1">
        <f t="shared" si="167"/>
        <v>0</v>
      </c>
      <c r="AH409" s="1">
        <f t="shared" si="168"/>
        <v>0</v>
      </c>
      <c r="AI409" s="1">
        <f t="shared" si="169"/>
        <v>1</v>
      </c>
    </row>
    <row r="410" spans="1:35" ht="14.25" customHeight="1" x14ac:dyDescent="0.25">
      <c r="A410" s="47">
        <v>1</v>
      </c>
      <c r="B410" s="47">
        <v>2</v>
      </c>
      <c r="C410" s="47">
        <v>7</v>
      </c>
      <c r="D410" s="48" t="s">
        <v>67</v>
      </c>
      <c r="E410" s="48" t="s">
        <v>28</v>
      </c>
      <c r="F410" s="48" t="s">
        <v>1043</v>
      </c>
      <c r="G410" s="48" t="s">
        <v>541</v>
      </c>
      <c r="H410" s="48" t="s">
        <v>355</v>
      </c>
      <c r="I410" s="47" t="s">
        <v>30</v>
      </c>
      <c r="J410" s="47">
        <v>1</v>
      </c>
      <c r="K410" s="49" t="s">
        <v>717</v>
      </c>
      <c r="L410" s="49" t="s">
        <v>717</v>
      </c>
      <c r="M410" s="50" t="s">
        <v>735</v>
      </c>
      <c r="N410" s="50" t="s">
        <v>1741</v>
      </c>
      <c r="O410" s="51"/>
      <c r="P410" s="51"/>
      <c r="Q410" s="48"/>
      <c r="S410" s="1">
        <f t="shared" si="170"/>
        <v>1</v>
      </c>
      <c r="T410" s="1">
        <f t="shared" si="171"/>
        <v>0</v>
      </c>
      <c r="U410" s="1">
        <f t="shared" si="172"/>
        <v>0</v>
      </c>
      <c r="V410" s="1">
        <f t="shared" si="173"/>
        <v>0</v>
      </c>
      <c r="W410" s="1">
        <f t="shared" si="174"/>
        <v>0</v>
      </c>
      <c r="X410" s="1">
        <f t="shared" si="175"/>
        <v>0</v>
      </c>
      <c r="Y410" s="1">
        <f t="shared" si="176"/>
        <v>0</v>
      </c>
      <c r="Z410" s="1">
        <f t="shared" si="177"/>
        <v>0</v>
      </c>
      <c r="AA410" s="1">
        <f t="shared" si="178"/>
        <v>0</v>
      </c>
      <c r="AB410" s="1">
        <f t="shared" si="179"/>
        <v>0</v>
      </c>
      <c r="AD410" s="1">
        <f t="shared" si="180"/>
        <v>0</v>
      </c>
      <c r="AE410" s="1">
        <f t="shared" si="181"/>
        <v>0</v>
      </c>
      <c r="AF410" s="1">
        <f t="shared" si="166"/>
        <v>0</v>
      </c>
      <c r="AG410" s="1">
        <f t="shared" si="167"/>
        <v>0</v>
      </c>
      <c r="AH410" s="1">
        <f t="shared" si="168"/>
        <v>0</v>
      </c>
      <c r="AI410" s="1">
        <f t="shared" si="169"/>
        <v>0</v>
      </c>
    </row>
    <row r="411" spans="1:35" ht="14.25" customHeight="1" x14ac:dyDescent="0.25">
      <c r="A411" s="47">
        <v>1</v>
      </c>
      <c r="B411" s="47">
        <v>2</v>
      </c>
      <c r="C411" s="47">
        <v>7</v>
      </c>
      <c r="D411" s="48" t="s">
        <v>67</v>
      </c>
      <c r="E411" s="48" t="s">
        <v>28</v>
      </c>
      <c r="F411" s="48" t="s">
        <v>251</v>
      </c>
      <c r="G411" s="48" t="s">
        <v>201</v>
      </c>
      <c r="H411" s="48" t="s">
        <v>355</v>
      </c>
      <c r="I411" s="47" t="s">
        <v>413</v>
      </c>
      <c r="J411" s="47">
        <v>2</v>
      </c>
      <c r="K411" s="49" t="s">
        <v>717</v>
      </c>
      <c r="L411" s="49" t="s">
        <v>717</v>
      </c>
      <c r="M411" s="50" t="s">
        <v>735</v>
      </c>
      <c r="N411" s="50" t="s">
        <v>1741</v>
      </c>
      <c r="O411" s="51"/>
      <c r="P411" s="51"/>
      <c r="Q411" s="48"/>
      <c r="S411" s="1">
        <f t="shared" si="170"/>
        <v>0</v>
      </c>
      <c r="T411" s="1">
        <f t="shared" si="171"/>
        <v>1</v>
      </c>
      <c r="U411" s="1">
        <f t="shared" si="172"/>
        <v>0</v>
      </c>
      <c r="V411" s="1">
        <f t="shared" si="173"/>
        <v>0</v>
      </c>
      <c r="W411" s="1">
        <f t="shared" si="174"/>
        <v>0</v>
      </c>
      <c r="X411" s="1">
        <f t="shared" si="175"/>
        <v>0</v>
      </c>
      <c r="Y411" s="1">
        <f t="shared" si="176"/>
        <v>0</v>
      </c>
      <c r="Z411" s="1">
        <f t="shared" si="177"/>
        <v>0</v>
      </c>
      <c r="AA411" s="1">
        <f t="shared" si="178"/>
        <v>0</v>
      </c>
      <c r="AB411" s="1">
        <f t="shared" si="179"/>
        <v>0</v>
      </c>
      <c r="AD411" s="1">
        <f t="shared" si="180"/>
        <v>0</v>
      </c>
      <c r="AE411" s="1">
        <f t="shared" si="181"/>
        <v>0</v>
      </c>
      <c r="AF411" s="1">
        <f t="shared" si="166"/>
        <v>0</v>
      </c>
      <c r="AG411" s="1">
        <f t="shared" si="167"/>
        <v>0</v>
      </c>
      <c r="AH411" s="1">
        <f t="shared" si="168"/>
        <v>0</v>
      </c>
      <c r="AI411" s="1">
        <f t="shared" si="169"/>
        <v>0</v>
      </c>
    </row>
    <row r="412" spans="1:35" ht="14.25" customHeight="1" x14ac:dyDescent="0.25">
      <c r="A412" s="47">
        <v>1</v>
      </c>
      <c r="B412" s="47">
        <v>2</v>
      </c>
      <c r="C412" s="47">
        <v>7</v>
      </c>
      <c r="D412" s="48" t="s">
        <v>67</v>
      </c>
      <c r="E412" s="48" t="s">
        <v>28</v>
      </c>
      <c r="F412" s="48" t="s">
        <v>248</v>
      </c>
      <c r="G412" s="48" t="s">
        <v>1358</v>
      </c>
      <c r="H412" s="48" t="s">
        <v>355</v>
      </c>
      <c r="I412" s="47" t="s">
        <v>30</v>
      </c>
      <c r="J412" s="47">
        <v>1</v>
      </c>
      <c r="K412" s="49" t="s">
        <v>717</v>
      </c>
      <c r="L412" s="49" t="s">
        <v>717</v>
      </c>
      <c r="M412" s="50" t="s">
        <v>735</v>
      </c>
      <c r="N412" s="50" t="s">
        <v>1741</v>
      </c>
      <c r="O412" s="51"/>
      <c r="P412" s="51"/>
      <c r="Q412" s="48" t="s">
        <v>1924</v>
      </c>
      <c r="S412" s="1">
        <f t="shared" si="170"/>
        <v>1</v>
      </c>
      <c r="T412" s="1">
        <f t="shared" si="171"/>
        <v>0</v>
      </c>
      <c r="U412" s="1">
        <f t="shared" si="172"/>
        <v>0</v>
      </c>
      <c r="V412" s="1">
        <f t="shared" si="173"/>
        <v>0</v>
      </c>
      <c r="W412" s="1">
        <f t="shared" si="174"/>
        <v>0</v>
      </c>
      <c r="X412" s="1">
        <f t="shared" si="175"/>
        <v>0</v>
      </c>
      <c r="Y412" s="1">
        <f t="shared" si="176"/>
        <v>0</v>
      </c>
      <c r="Z412" s="1">
        <f t="shared" si="177"/>
        <v>0</v>
      </c>
      <c r="AA412" s="1">
        <f t="shared" si="178"/>
        <v>0</v>
      </c>
      <c r="AB412" s="1">
        <f t="shared" si="179"/>
        <v>0</v>
      </c>
      <c r="AD412" s="1">
        <f t="shared" si="180"/>
        <v>0</v>
      </c>
      <c r="AE412" s="1">
        <f t="shared" si="181"/>
        <v>0</v>
      </c>
      <c r="AF412" s="1">
        <f t="shared" si="166"/>
        <v>0</v>
      </c>
      <c r="AG412" s="1">
        <f t="shared" si="167"/>
        <v>0</v>
      </c>
      <c r="AH412" s="1">
        <f t="shared" si="168"/>
        <v>0</v>
      </c>
      <c r="AI412" s="1">
        <f t="shared" si="169"/>
        <v>0</v>
      </c>
    </row>
    <row r="413" spans="1:35" ht="14.25" customHeight="1" x14ac:dyDescent="0.25">
      <c r="A413" s="47">
        <v>1</v>
      </c>
      <c r="B413" s="47">
        <v>2</v>
      </c>
      <c r="C413" s="47">
        <v>7</v>
      </c>
      <c r="D413" s="48" t="s">
        <v>67</v>
      </c>
      <c r="E413" s="48" t="s">
        <v>28</v>
      </c>
      <c r="F413" s="48" t="s">
        <v>253</v>
      </c>
      <c r="G413" s="48" t="s">
        <v>195</v>
      </c>
      <c r="H413" s="48" t="s">
        <v>355</v>
      </c>
      <c r="I413" s="47" t="s">
        <v>414</v>
      </c>
      <c r="J413" s="47">
        <v>9</v>
      </c>
      <c r="K413" s="49" t="s">
        <v>717</v>
      </c>
      <c r="L413" s="49" t="s">
        <v>717</v>
      </c>
      <c r="M413" s="50" t="s">
        <v>735</v>
      </c>
      <c r="N413" s="50" t="s">
        <v>1741</v>
      </c>
      <c r="O413" s="51"/>
      <c r="P413" s="51"/>
      <c r="Q413" s="48"/>
      <c r="S413" s="1">
        <f t="shared" si="170"/>
        <v>0</v>
      </c>
      <c r="T413" s="1">
        <f t="shared" si="171"/>
        <v>0</v>
      </c>
      <c r="U413" s="1">
        <f t="shared" si="172"/>
        <v>0</v>
      </c>
      <c r="V413" s="1">
        <f t="shared" si="173"/>
        <v>0</v>
      </c>
      <c r="W413" s="1">
        <f t="shared" si="174"/>
        <v>0</v>
      </c>
      <c r="X413" s="1">
        <f t="shared" si="175"/>
        <v>0</v>
      </c>
      <c r="Y413" s="1">
        <f t="shared" si="176"/>
        <v>0</v>
      </c>
      <c r="Z413" s="1">
        <f t="shared" si="177"/>
        <v>0</v>
      </c>
      <c r="AA413" s="1">
        <f t="shared" si="178"/>
        <v>1</v>
      </c>
      <c r="AB413" s="1">
        <f t="shared" si="179"/>
        <v>0</v>
      </c>
      <c r="AD413" s="1">
        <f t="shared" si="180"/>
        <v>0</v>
      </c>
      <c r="AE413" s="1">
        <f t="shared" si="181"/>
        <v>0</v>
      </c>
      <c r="AF413" s="1">
        <f t="shared" si="166"/>
        <v>0</v>
      </c>
      <c r="AG413" s="1">
        <f t="shared" si="167"/>
        <v>0</v>
      </c>
      <c r="AH413" s="1">
        <f t="shared" si="168"/>
        <v>0</v>
      </c>
      <c r="AI413" s="1">
        <f t="shared" si="169"/>
        <v>0</v>
      </c>
    </row>
    <row r="414" spans="1:35" ht="14.25" customHeight="1" x14ac:dyDescent="0.25">
      <c r="A414" s="47">
        <v>0</v>
      </c>
      <c r="B414" s="47">
        <v>2</v>
      </c>
      <c r="C414" s="47">
        <v>7</v>
      </c>
      <c r="D414" s="48" t="s">
        <v>1027</v>
      </c>
      <c r="E414" s="48" t="s">
        <v>28</v>
      </c>
      <c r="F414" s="48" t="s">
        <v>1028</v>
      </c>
      <c r="G414" s="48" t="s">
        <v>195</v>
      </c>
      <c r="H414" s="48" t="s">
        <v>355</v>
      </c>
      <c r="I414" s="47" t="s">
        <v>1029</v>
      </c>
      <c r="J414" s="47">
        <v>9</v>
      </c>
      <c r="K414" s="49" t="s">
        <v>716</v>
      </c>
      <c r="L414" s="49" t="s">
        <v>717</v>
      </c>
      <c r="M414" s="50" t="s">
        <v>735</v>
      </c>
      <c r="N414" s="50" t="s">
        <v>1742</v>
      </c>
      <c r="O414" s="51"/>
      <c r="P414" s="51"/>
      <c r="Q414" s="48"/>
      <c r="S414" s="1">
        <f t="shared" si="170"/>
        <v>0</v>
      </c>
      <c r="T414" s="1">
        <f t="shared" si="171"/>
        <v>0</v>
      </c>
      <c r="U414" s="1">
        <f t="shared" si="172"/>
        <v>0</v>
      </c>
      <c r="V414" s="1">
        <f t="shared" si="173"/>
        <v>0</v>
      </c>
      <c r="W414" s="1">
        <f t="shared" si="174"/>
        <v>0</v>
      </c>
      <c r="X414" s="1">
        <f t="shared" si="175"/>
        <v>0</v>
      </c>
      <c r="Y414" s="1">
        <f t="shared" si="176"/>
        <v>0</v>
      </c>
      <c r="Z414" s="1">
        <f t="shared" si="177"/>
        <v>0</v>
      </c>
      <c r="AA414" s="1">
        <f t="shared" si="178"/>
        <v>1</v>
      </c>
      <c r="AB414" s="1">
        <f t="shared" si="179"/>
        <v>0</v>
      </c>
      <c r="AD414" s="1">
        <f t="shared" si="180"/>
        <v>0</v>
      </c>
      <c r="AE414" s="1">
        <f t="shared" si="181"/>
        <v>0</v>
      </c>
      <c r="AF414" s="1">
        <f t="shared" si="166"/>
        <v>0</v>
      </c>
      <c r="AG414" s="1">
        <f t="shared" si="167"/>
        <v>0</v>
      </c>
      <c r="AH414" s="1">
        <f t="shared" si="168"/>
        <v>0</v>
      </c>
      <c r="AI414" s="1">
        <f t="shared" si="169"/>
        <v>1</v>
      </c>
    </row>
    <row r="415" spans="1:35" ht="14.25" customHeight="1" x14ac:dyDescent="0.25">
      <c r="A415" s="34">
        <v>0</v>
      </c>
      <c r="B415" s="34">
        <v>2</v>
      </c>
      <c r="C415" s="34">
        <v>7</v>
      </c>
      <c r="D415" s="35" t="s">
        <v>1840</v>
      </c>
      <c r="E415" s="35" t="s">
        <v>1841</v>
      </c>
      <c r="F415" s="35" t="s">
        <v>1842</v>
      </c>
      <c r="G415" s="35" t="s">
        <v>208</v>
      </c>
      <c r="H415" s="35" t="s">
        <v>355</v>
      </c>
      <c r="I415" s="34" t="s">
        <v>30</v>
      </c>
      <c r="J415" s="34"/>
      <c r="K415" s="36" t="s">
        <v>707</v>
      </c>
      <c r="L415" s="36">
        <v>20</v>
      </c>
      <c r="M415" s="37" t="s">
        <v>1843</v>
      </c>
      <c r="N415" s="37" t="s">
        <v>1750</v>
      </c>
      <c r="O415" s="38">
        <v>1</v>
      </c>
      <c r="P415" s="38"/>
      <c r="Q415" s="35"/>
      <c r="S415" s="1">
        <f t="shared" si="170"/>
        <v>0</v>
      </c>
      <c r="T415" s="1">
        <f t="shared" si="171"/>
        <v>0</v>
      </c>
      <c r="U415" s="1">
        <f t="shared" si="172"/>
        <v>0</v>
      </c>
      <c r="V415" s="1">
        <f t="shared" si="173"/>
        <v>0</v>
      </c>
      <c r="W415" s="1">
        <f t="shared" si="174"/>
        <v>0</v>
      </c>
      <c r="X415" s="1">
        <f t="shared" si="175"/>
        <v>0</v>
      </c>
      <c r="Y415" s="1">
        <f t="shared" si="176"/>
        <v>0</v>
      </c>
      <c r="Z415" s="1">
        <f t="shared" si="177"/>
        <v>0</v>
      </c>
      <c r="AA415" s="1">
        <f t="shared" si="178"/>
        <v>0</v>
      </c>
      <c r="AB415" s="1">
        <f t="shared" si="179"/>
        <v>0</v>
      </c>
      <c r="AD415" s="1">
        <f t="shared" si="180"/>
        <v>0</v>
      </c>
      <c r="AE415" s="1">
        <f t="shared" si="181"/>
        <v>1</v>
      </c>
      <c r="AF415" s="1">
        <f t="shared" si="166"/>
        <v>0</v>
      </c>
      <c r="AG415" s="1">
        <f t="shared" si="167"/>
        <v>1</v>
      </c>
      <c r="AH415" s="1">
        <f t="shared" si="168"/>
        <v>0</v>
      </c>
      <c r="AI415" s="1">
        <f t="shared" si="169"/>
        <v>1</v>
      </c>
    </row>
    <row r="416" spans="1:35" ht="14.25" customHeight="1" x14ac:dyDescent="0.25">
      <c r="A416" s="52">
        <v>0</v>
      </c>
      <c r="B416" s="52">
        <v>2</v>
      </c>
      <c r="C416" s="52">
        <v>7</v>
      </c>
      <c r="D416" s="53" t="s">
        <v>1083</v>
      </c>
      <c r="E416" s="53" t="s">
        <v>546</v>
      </c>
      <c r="F416" s="53" t="s">
        <v>1064</v>
      </c>
      <c r="G416" s="53" t="s">
        <v>239</v>
      </c>
      <c r="H416" s="53" t="s">
        <v>355</v>
      </c>
      <c r="I416" s="52" t="s">
        <v>1065</v>
      </c>
      <c r="J416" s="52">
        <v>99</v>
      </c>
      <c r="K416" s="54" t="s">
        <v>959</v>
      </c>
      <c r="L416" s="54" t="s">
        <v>726</v>
      </c>
      <c r="M416" s="55" t="s">
        <v>1444</v>
      </c>
      <c r="N416" s="55" t="s">
        <v>1750</v>
      </c>
      <c r="O416" s="56">
        <v>1</v>
      </c>
      <c r="P416" s="56"/>
      <c r="Q416" s="53"/>
      <c r="S416" s="1">
        <f t="shared" ref="S416:S420" si="182">IF(J416=$S$7,1,0)</f>
        <v>0</v>
      </c>
      <c r="T416" s="1">
        <f t="shared" ref="T416:T420" si="183">IF(J416=$T$7,1,0)</f>
        <v>0</v>
      </c>
      <c r="U416" s="1">
        <f t="shared" ref="U416:U420" si="184">IF(J416=$U$7,1,0)</f>
        <v>0</v>
      </c>
      <c r="V416" s="1">
        <f t="shared" ref="V416:V420" si="185">IF(J416=$V$7,1,0)</f>
        <v>0</v>
      </c>
      <c r="W416" s="1">
        <f t="shared" ref="W416:W420" si="186">IF(J416=$W$7,1,0)</f>
        <v>0</v>
      </c>
      <c r="X416" s="1">
        <f t="shared" ref="X416:X420" si="187">IF(J416=$X$7,1,0)</f>
        <v>0</v>
      </c>
      <c r="Y416" s="1">
        <f t="shared" ref="Y416:Y420" si="188">IF(J416=$Y$7,1,0)</f>
        <v>0</v>
      </c>
      <c r="Z416" s="1">
        <f t="shared" ref="Z416:Z420" si="189">IF(J416=$Z$7,1,0)</f>
        <v>0</v>
      </c>
      <c r="AA416" s="1">
        <f t="shared" ref="AA416:AA420" si="190">IF(J416=$AA$7,1,0)</f>
        <v>0</v>
      </c>
      <c r="AB416" s="1">
        <f t="shared" ref="AB416:AB420" si="191">IF(J416=$AB$7,1,0)</f>
        <v>0</v>
      </c>
      <c r="AD416" s="1">
        <f t="shared" ref="AD416:AD420" si="192">+O416*P416</f>
        <v>0</v>
      </c>
      <c r="AE416" s="1">
        <f t="shared" ref="AE416:AE420" si="193">O416*(1-P416)</f>
        <v>1</v>
      </c>
      <c r="AF416" s="1">
        <f t="shared" ref="AF416:AF420" si="194">+O416*P416*(1-A416)</f>
        <v>0</v>
      </c>
      <c r="AG416" s="1">
        <f t="shared" ref="AG416:AG420" si="195">O416*(1-P416)*(1-A416)</f>
        <v>1</v>
      </c>
      <c r="AH416" s="1">
        <f t="shared" ref="AH416:AH420" si="196">+P416*(1-A416)</f>
        <v>0</v>
      </c>
      <c r="AI416" s="1">
        <f t="shared" ref="AI416:AI420" si="197">+(1-A416)*(1-P416)</f>
        <v>1</v>
      </c>
    </row>
    <row r="417" spans="1:35" ht="14.25" customHeight="1" x14ac:dyDescent="0.25">
      <c r="A417" s="34">
        <v>0</v>
      </c>
      <c r="B417" s="34">
        <v>2</v>
      </c>
      <c r="C417" s="34">
        <v>7</v>
      </c>
      <c r="D417" s="35" t="s">
        <v>1233</v>
      </c>
      <c r="E417" s="35" t="s">
        <v>157</v>
      </c>
      <c r="F417" s="35" t="s">
        <v>1234</v>
      </c>
      <c r="G417" s="35" t="s">
        <v>252</v>
      </c>
      <c r="H417" s="35" t="s">
        <v>355</v>
      </c>
      <c r="I417" s="34" t="s">
        <v>1235</v>
      </c>
      <c r="J417" s="34">
        <v>99</v>
      </c>
      <c r="K417" s="36" t="s">
        <v>717</v>
      </c>
      <c r="L417" s="36">
        <v>10</v>
      </c>
      <c r="M417" s="37" t="s">
        <v>1753</v>
      </c>
      <c r="N417" s="37" t="s">
        <v>1734</v>
      </c>
      <c r="O417" s="38">
        <v>1</v>
      </c>
      <c r="P417" s="38">
        <v>1</v>
      </c>
      <c r="Q417" s="35"/>
      <c r="S417" s="1">
        <f t="shared" si="182"/>
        <v>0</v>
      </c>
      <c r="T417" s="1">
        <f t="shared" si="183"/>
        <v>0</v>
      </c>
      <c r="U417" s="1">
        <f t="shared" si="184"/>
        <v>0</v>
      </c>
      <c r="V417" s="1">
        <f t="shared" si="185"/>
        <v>0</v>
      </c>
      <c r="W417" s="1">
        <f t="shared" si="186"/>
        <v>0</v>
      </c>
      <c r="X417" s="1">
        <f t="shared" si="187"/>
        <v>0</v>
      </c>
      <c r="Y417" s="1">
        <f t="shared" si="188"/>
        <v>0</v>
      </c>
      <c r="Z417" s="1">
        <f t="shared" si="189"/>
        <v>0</v>
      </c>
      <c r="AA417" s="1">
        <f t="shared" si="190"/>
        <v>0</v>
      </c>
      <c r="AB417" s="1">
        <f t="shared" si="191"/>
        <v>0</v>
      </c>
      <c r="AD417" s="1">
        <f t="shared" si="192"/>
        <v>1</v>
      </c>
      <c r="AE417" s="1">
        <f t="shared" si="193"/>
        <v>0</v>
      </c>
      <c r="AF417" s="1">
        <f t="shared" si="194"/>
        <v>1</v>
      </c>
      <c r="AG417" s="1">
        <f t="shared" si="195"/>
        <v>0</v>
      </c>
      <c r="AH417" s="1">
        <f t="shared" si="196"/>
        <v>1</v>
      </c>
      <c r="AI417" s="1">
        <f t="shared" si="197"/>
        <v>0</v>
      </c>
    </row>
    <row r="418" spans="1:35" ht="14.25" customHeight="1" x14ac:dyDescent="0.25">
      <c r="A418" s="34">
        <v>0</v>
      </c>
      <c r="B418" s="34">
        <v>2</v>
      </c>
      <c r="C418" s="34">
        <v>7</v>
      </c>
      <c r="D418" s="39" t="s">
        <v>1810</v>
      </c>
      <c r="E418" s="39" t="s">
        <v>28</v>
      </c>
      <c r="F418" s="39" t="s">
        <v>1811</v>
      </c>
      <c r="G418" s="39" t="s">
        <v>181</v>
      </c>
      <c r="H418" s="39" t="s">
        <v>355</v>
      </c>
      <c r="I418" s="40" t="s">
        <v>1812</v>
      </c>
      <c r="J418" s="34">
        <v>10</v>
      </c>
      <c r="K418" s="36" t="s">
        <v>707</v>
      </c>
      <c r="L418" s="36">
        <v>10</v>
      </c>
      <c r="M418" s="37"/>
      <c r="N418" s="37" t="s">
        <v>1734</v>
      </c>
      <c r="O418" s="38">
        <v>1</v>
      </c>
      <c r="P418" s="38">
        <v>1</v>
      </c>
      <c r="Q418" s="39"/>
      <c r="S418" s="1">
        <f t="shared" si="182"/>
        <v>0</v>
      </c>
      <c r="T418" s="1">
        <f t="shared" si="183"/>
        <v>0</v>
      </c>
      <c r="U418" s="1">
        <f t="shared" si="184"/>
        <v>0</v>
      </c>
      <c r="V418" s="1">
        <f t="shared" si="185"/>
        <v>0</v>
      </c>
      <c r="W418" s="1">
        <f t="shared" si="186"/>
        <v>0</v>
      </c>
      <c r="X418" s="1">
        <f t="shared" si="187"/>
        <v>0</v>
      </c>
      <c r="Y418" s="1">
        <f t="shared" si="188"/>
        <v>0</v>
      </c>
      <c r="Z418" s="1">
        <f t="shared" si="189"/>
        <v>0</v>
      </c>
      <c r="AA418" s="1">
        <f t="shared" si="190"/>
        <v>0</v>
      </c>
      <c r="AB418" s="1">
        <f t="shared" si="191"/>
        <v>1</v>
      </c>
      <c r="AD418" s="1">
        <f t="shared" si="192"/>
        <v>1</v>
      </c>
      <c r="AE418" s="1">
        <f t="shared" si="193"/>
        <v>0</v>
      </c>
      <c r="AF418" s="1">
        <f t="shared" si="194"/>
        <v>1</v>
      </c>
      <c r="AG418" s="1">
        <f t="shared" si="195"/>
        <v>0</v>
      </c>
      <c r="AH418" s="1">
        <f t="shared" si="196"/>
        <v>1</v>
      </c>
      <c r="AI418" s="1">
        <f t="shared" si="197"/>
        <v>0</v>
      </c>
    </row>
    <row r="419" spans="1:35" ht="14.25" customHeight="1" x14ac:dyDescent="0.25">
      <c r="A419" s="40">
        <v>0</v>
      </c>
      <c r="B419" s="40">
        <v>2</v>
      </c>
      <c r="C419" s="40">
        <v>7</v>
      </c>
      <c r="D419" s="39" t="s">
        <v>1592</v>
      </c>
      <c r="E419" s="39" t="s">
        <v>1658</v>
      </c>
      <c r="F419" s="39" t="s">
        <v>1593</v>
      </c>
      <c r="G419" s="39" t="s">
        <v>659</v>
      </c>
      <c r="H419" s="39" t="s">
        <v>355</v>
      </c>
      <c r="I419" s="40" t="s">
        <v>1594</v>
      </c>
      <c r="J419" s="40">
        <v>99</v>
      </c>
      <c r="K419" s="36" t="s">
        <v>717</v>
      </c>
      <c r="L419" s="36" t="s">
        <v>39</v>
      </c>
      <c r="M419" s="37" t="s">
        <v>39</v>
      </c>
      <c r="N419" s="37" t="s">
        <v>1734</v>
      </c>
      <c r="O419" s="38">
        <v>1</v>
      </c>
      <c r="P419" s="38">
        <v>1</v>
      </c>
      <c r="Q419" s="39"/>
      <c r="S419" s="1">
        <f t="shared" si="182"/>
        <v>0</v>
      </c>
      <c r="T419" s="1">
        <f t="shared" si="183"/>
        <v>0</v>
      </c>
      <c r="U419" s="1">
        <f t="shared" si="184"/>
        <v>0</v>
      </c>
      <c r="V419" s="1">
        <f t="shared" si="185"/>
        <v>0</v>
      </c>
      <c r="W419" s="1">
        <f t="shared" si="186"/>
        <v>0</v>
      </c>
      <c r="X419" s="1">
        <f t="shared" si="187"/>
        <v>0</v>
      </c>
      <c r="Y419" s="1">
        <f t="shared" si="188"/>
        <v>0</v>
      </c>
      <c r="Z419" s="1">
        <f t="shared" si="189"/>
        <v>0</v>
      </c>
      <c r="AA419" s="1">
        <f t="shared" si="190"/>
        <v>0</v>
      </c>
      <c r="AB419" s="1">
        <f t="shared" si="191"/>
        <v>0</v>
      </c>
      <c r="AD419" s="1">
        <f t="shared" si="192"/>
        <v>1</v>
      </c>
      <c r="AE419" s="1">
        <f t="shared" si="193"/>
        <v>0</v>
      </c>
      <c r="AF419" s="1">
        <f t="shared" si="194"/>
        <v>1</v>
      </c>
      <c r="AG419" s="1">
        <f t="shared" si="195"/>
        <v>0</v>
      </c>
      <c r="AH419" s="1">
        <f t="shared" si="196"/>
        <v>1</v>
      </c>
      <c r="AI419" s="1">
        <f t="shared" si="197"/>
        <v>0</v>
      </c>
    </row>
    <row r="420" spans="1:35" ht="14.25" customHeight="1" x14ac:dyDescent="0.25">
      <c r="A420" s="47">
        <v>0</v>
      </c>
      <c r="B420" s="47">
        <v>2</v>
      </c>
      <c r="C420" s="47">
        <v>7</v>
      </c>
      <c r="D420" s="48" t="s">
        <v>1544</v>
      </c>
      <c r="E420" s="48" t="s">
        <v>28</v>
      </c>
      <c r="F420" s="48" t="s">
        <v>1669</v>
      </c>
      <c r="G420" s="48" t="s">
        <v>288</v>
      </c>
      <c r="H420" s="48" t="s">
        <v>355</v>
      </c>
      <c r="I420" s="47" t="s">
        <v>1695</v>
      </c>
      <c r="J420" s="47">
        <v>99</v>
      </c>
      <c r="K420" s="49" t="s">
        <v>717</v>
      </c>
      <c r="L420" s="49" t="s">
        <v>717</v>
      </c>
      <c r="M420" s="50" t="s">
        <v>735</v>
      </c>
      <c r="N420" s="50" t="s">
        <v>1742</v>
      </c>
      <c r="O420" s="51"/>
      <c r="P420" s="51"/>
      <c r="Q420" s="48"/>
      <c r="S420" s="1">
        <f t="shared" si="182"/>
        <v>0</v>
      </c>
      <c r="T420" s="1">
        <f t="shared" si="183"/>
        <v>0</v>
      </c>
      <c r="U420" s="1">
        <f t="shared" si="184"/>
        <v>0</v>
      </c>
      <c r="V420" s="1">
        <f t="shared" si="185"/>
        <v>0</v>
      </c>
      <c r="W420" s="1">
        <f t="shared" si="186"/>
        <v>0</v>
      </c>
      <c r="X420" s="1">
        <f t="shared" si="187"/>
        <v>0</v>
      </c>
      <c r="Y420" s="1">
        <f t="shared" si="188"/>
        <v>0</v>
      </c>
      <c r="Z420" s="1">
        <f t="shared" si="189"/>
        <v>0</v>
      </c>
      <c r="AA420" s="1">
        <f t="shared" si="190"/>
        <v>0</v>
      </c>
      <c r="AB420" s="1">
        <f t="shared" si="191"/>
        <v>0</v>
      </c>
      <c r="AD420" s="1">
        <f t="shared" si="192"/>
        <v>0</v>
      </c>
      <c r="AE420" s="1">
        <f t="shared" si="193"/>
        <v>0</v>
      </c>
      <c r="AF420" s="1">
        <f t="shared" si="194"/>
        <v>0</v>
      </c>
      <c r="AG420" s="1">
        <f t="shared" si="195"/>
        <v>0</v>
      </c>
      <c r="AH420" s="1">
        <f t="shared" si="196"/>
        <v>0</v>
      </c>
      <c r="AI420" s="1">
        <f t="shared" si="197"/>
        <v>1</v>
      </c>
    </row>
    <row r="421" spans="1:35" ht="14.25" customHeight="1" x14ac:dyDescent="0.25">
      <c r="A421" s="47">
        <v>0</v>
      </c>
      <c r="B421" s="47">
        <v>2</v>
      </c>
      <c r="C421" s="47">
        <v>7</v>
      </c>
      <c r="D421" s="48" t="s">
        <v>1335</v>
      </c>
      <c r="E421" s="48" t="s">
        <v>28</v>
      </c>
      <c r="F421" s="48" t="s">
        <v>574</v>
      </c>
      <c r="G421" s="48" t="s">
        <v>182</v>
      </c>
      <c r="H421" s="48" t="s">
        <v>355</v>
      </c>
      <c r="I421" s="47" t="s">
        <v>431</v>
      </c>
      <c r="J421" s="47">
        <v>7</v>
      </c>
      <c r="K421" s="49" t="s">
        <v>716</v>
      </c>
      <c r="L421" s="49" t="s">
        <v>717</v>
      </c>
      <c r="M421" s="50" t="s">
        <v>735</v>
      </c>
      <c r="N421" s="50" t="s">
        <v>1742</v>
      </c>
      <c r="O421" s="51"/>
      <c r="P421" s="51"/>
      <c r="Q421" s="48"/>
      <c r="S421" s="1">
        <f t="shared" si="170"/>
        <v>0</v>
      </c>
      <c r="T421" s="1">
        <f t="shared" si="171"/>
        <v>0</v>
      </c>
      <c r="U421" s="1">
        <f t="shared" si="172"/>
        <v>0</v>
      </c>
      <c r="V421" s="1">
        <f t="shared" si="173"/>
        <v>0</v>
      </c>
      <c r="W421" s="1">
        <f t="shared" si="174"/>
        <v>0</v>
      </c>
      <c r="X421" s="1">
        <f t="shared" si="175"/>
        <v>0</v>
      </c>
      <c r="Y421" s="1">
        <f t="shared" si="176"/>
        <v>1</v>
      </c>
      <c r="Z421" s="1">
        <f t="shared" si="177"/>
        <v>0</v>
      </c>
      <c r="AA421" s="1">
        <f t="shared" si="178"/>
        <v>0</v>
      </c>
      <c r="AB421" s="1">
        <f t="shared" si="179"/>
        <v>0</v>
      </c>
      <c r="AD421" s="1">
        <f t="shared" si="180"/>
        <v>0</v>
      </c>
      <c r="AE421" s="1">
        <f t="shared" si="181"/>
        <v>0</v>
      </c>
      <c r="AF421" s="1">
        <f t="shared" si="166"/>
        <v>0</v>
      </c>
      <c r="AG421" s="1">
        <f t="shared" si="167"/>
        <v>0</v>
      </c>
      <c r="AH421" s="1">
        <f t="shared" si="168"/>
        <v>0</v>
      </c>
      <c r="AI421" s="1">
        <f t="shared" si="169"/>
        <v>1</v>
      </c>
    </row>
    <row r="422" spans="1:35" ht="14.25" customHeight="1" x14ac:dyDescent="0.25">
      <c r="A422" s="47">
        <v>0</v>
      </c>
      <c r="B422" s="47">
        <v>2</v>
      </c>
      <c r="C422" s="47">
        <v>7</v>
      </c>
      <c r="D422" s="48" t="s">
        <v>72</v>
      </c>
      <c r="E422" s="48" t="s">
        <v>28</v>
      </c>
      <c r="F422" s="68" t="s">
        <v>1882</v>
      </c>
      <c r="G422" s="48" t="s">
        <v>236</v>
      </c>
      <c r="H422" s="48" t="s">
        <v>355</v>
      </c>
      <c r="I422" s="47" t="s">
        <v>683</v>
      </c>
      <c r="J422" s="47">
        <v>99</v>
      </c>
      <c r="K422" s="49" t="s">
        <v>717</v>
      </c>
      <c r="L422" s="49" t="s">
        <v>717</v>
      </c>
      <c r="M422" s="50" t="s">
        <v>735</v>
      </c>
      <c r="N422" s="50" t="s">
        <v>1742</v>
      </c>
      <c r="O422" s="51"/>
      <c r="P422" s="51"/>
      <c r="Q422" s="48"/>
      <c r="S422" s="1">
        <f t="shared" si="170"/>
        <v>0</v>
      </c>
      <c r="T422" s="1">
        <f t="shared" si="171"/>
        <v>0</v>
      </c>
      <c r="U422" s="1">
        <f t="shared" si="172"/>
        <v>0</v>
      </c>
      <c r="V422" s="1">
        <f t="shared" si="173"/>
        <v>0</v>
      </c>
      <c r="W422" s="1">
        <f t="shared" si="174"/>
        <v>0</v>
      </c>
      <c r="X422" s="1">
        <f t="shared" si="175"/>
        <v>0</v>
      </c>
      <c r="Y422" s="1">
        <f t="shared" si="176"/>
        <v>0</v>
      </c>
      <c r="Z422" s="1">
        <f t="shared" si="177"/>
        <v>0</v>
      </c>
      <c r="AA422" s="1">
        <f t="shared" si="178"/>
        <v>0</v>
      </c>
      <c r="AB422" s="1">
        <f t="shared" si="179"/>
        <v>0</v>
      </c>
      <c r="AD422" s="1">
        <f t="shared" si="180"/>
        <v>0</v>
      </c>
      <c r="AE422" s="1">
        <f t="shared" si="181"/>
        <v>0</v>
      </c>
      <c r="AF422" s="1">
        <f t="shared" si="166"/>
        <v>0</v>
      </c>
      <c r="AG422" s="1">
        <f t="shared" si="167"/>
        <v>0</v>
      </c>
      <c r="AH422" s="1">
        <f t="shared" si="168"/>
        <v>0</v>
      </c>
      <c r="AI422" s="1">
        <f t="shared" si="169"/>
        <v>1</v>
      </c>
    </row>
    <row r="423" spans="1:35" ht="14.25" customHeight="1" x14ac:dyDescent="0.25">
      <c r="A423" s="47">
        <v>1</v>
      </c>
      <c r="B423" s="47">
        <v>2</v>
      </c>
      <c r="C423" s="47">
        <v>7</v>
      </c>
      <c r="D423" s="48" t="s">
        <v>72</v>
      </c>
      <c r="E423" s="48" t="s">
        <v>28</v>
      </c>
      <c r="F423" s="48" t="s">
        <v>262</v>
      </c>
      <c r="G423" s="48" t="s">
        <v>221</v>
      </c>
      <c r="H423" s="48" t="s">
        <v>355</v>
      </c>
      <c r="I423" s="47" t="s">
        <v>421</v>
      </c>
      <c r="J423" s="47">
        <v>8</v>
      </c>
      <c r="K423" s="49" t="s">
        <v>717</v>
      </c>
      <c r="L423" s="49" t="s">
        <v>717</v>
      </c>
      <c r="M423" s="50" t="s">
        <v>735</v>
      </c>
      <c r="N423" s="50" t="s">
        <v>1742</v>
      </c>
      <c r="O423" s="51"/>
      <c r="P423" s="51"/>
      <c r="Q423" s="48"/>
      <c r="S423" s="1">
        <f t="shared" si="170"/>
        <v>0</v>
      </c>
      <c r="T423" s="1">
        <f t="shared" si="171"/>
        <v>0</v>
      </c>
      <c r="U423" s="1">
        <f t="shared" si="172"/>
        <v>0</v>
      </c>
      <c r="V423" s="1">
        <f t="shared" si="173"/>
        <v>0</v>
      </c>
      <c r="W423" s="1">
        <f t="shared" si="174"/>
        <v>0</v>
      </c>
      <c r="X423" s="1">
        <f t="shared" si="175"/>
        <v>0</v>
      </c>
      <c r="Y423" s="1">
        <f t="shared" si="176"/>
        <v>0</v>
      </c>
      <c r="Z423" s="1">
        <f t="shared" si="177"/>
        <v>1</v>
      </c>
      <c r="AA423" s="1">
        <f t="shared" si="178"/>
        <v>0</v>
      </c>
      <c r="AB423" s="1">
        <f t="shared" si="179"/>
        <v>0</v>
      </c>
      <c r="AD423" s="1">
        <f t="shared" si="180"/>
        <v>0</v>
      </c>
      <c r="AE423" s="1">
        <f t="shared" si="181"/>
        <v>0</v>
      </c>
      <c r="AF423" s="1">
        <f t="shared" si="166"/>
        <v>0</v>
      </c>
      <c r="AG423" s="1">
        <f t="shared" si="167"/>
        <v>0</v>
      </c>
      <c r="AH423" s="1">
        <f t="shared" si="168"/>
        <v>0</v>
      </c>
      <c r="AI423" s="1">
        <f t="shared" si="169"/>
        <v>0</v>
      </c>
    </row>
    <row r="424" spans="1:35" ht="14.25" customHeight="1" x14ac:dyDescent="0.25">
      <c r="A424" s="47">
        <v>1</v>
      </c>
      <c r="B424" s="47">
        <v>2</v>
      </c>
      <c r="C424" s="47">
        <v>7</v>
      </c>
      <c r="D424" s="48" t="s">
        <v>72</v>
      </c>
      <c r="E424" s="48" t="s">
        <v>28</v>
      </c>
      <c r="F424" s="48" t="s">
        <v>261</v>
      </c>
      <c r="G424" s="48" t="s">
        <v>179</v>
      </c>
      <c r="H424" s="48" t="s">
        <v>355</v>
      </c>
      <c r="I424" s="47" t="s">
        <v>420</v>
      </c>
      <c r="J424" s="47">
        <v>1</v>
      </c>
      <c r="K424" s="49" t="s">
        <v>717</v>
      </c>
      <c r="L424" s="49" t="s">
        <v>717</v>
      </c>
      <c r="M424" s="50" t="s">
        <v>735</v>
      </c>
      <c r="N424" s="50" t="s">
        <v>1742</v>
      </c>
      <c r="O424" s="51"/>
      <c r="P424" s="51"/>
      <c r="Q424" s="48"/>
      <c r="S424" s="1">
        <f t="shared" si="170"/>
        <v>1</v>
      </c>
      <c r="T424" s="1">
        <f t="shared" si="171"/>
        <v>0</v>
      </c>
      <c r="U424" s="1">
        <f t="shared" si="172"/>
        <v>0</v>
      </c>
      <c r="V424" s="1">
        <f t="shared" si="173"/>
        <v>0</v>
      </c>
      <c r="W424" s="1">
        <f t="shared" si="174"/>
        <v>0</v>
      </c>
      <c r="X424" s="1">
        <f t="shared" si="175"/>
        <v>0</v>
      </c>
      <c r="Y424" s="1">
        <f t="shared" si="176"/>
        <v>0</v>
      </c>
      <c r="Z424" s="1">
        <f t="shared" si="177"/>
        <v>0</v>
      </c>
      <c r="AA424" s="1">
        <f t="shared" si="178"/>
        <v>0</v>
      </c>
      <c r="AB424" s="1">
        <f t="shared" si="179"/>
        <v>0</v>
      </c>
      <c r="AD424" s="1">
        <f t="shared" si="180"/>
        <v>0</v>
      </c>
      <c r="AE424" s="1">
        <f t="shared" si="181"/>
        <v>0</v>
      </c>
      <c r="AF424" s="1">
        <f t="shared" si="166"/>
        <v>0</v>
      </c>
      <c r="AG424" s="1">
        <f t="shared" si="167"/>
        <v>0</v>
      </c>
      <c r="AH424" s="1">
        <f t="shared" si="168"/>
        <v>0</v>
      </c>
      <c r="AI424" s="1">
        <f t="shared" si="169"/>
        <v>0</v>
      </c>
    </row>
    <row r="425" spans="1:35" ht="14.25" customHeight="1" x14ac:dyDescent="0.25">
      <c r="A425" s="15">
        <v>0</v>
      </c>
      <c r="B425" s="15">
        <v>2</v>
      </c>
      <c r="C425" s="15">
        <v>7</v>
      </c>
      <c r="D425" s="16" t="s">
        <v>782</v>
      </c>
      <c r="E425" s="16" t="s">
        <v>28</v>
      </c>
      <c r="F425" s="16" t="s">
        <v>783</v>
      </c>
      <c r="G425" s="16" t="s">
        <v>280</v>
      </c>
      <c r="H425" s="16" t="s">
        <v>355</v>
      </c>
      <c r="I425" s="15" t="s">
        <v>784</v>
      </c>
      <c r="J425" s="15">
        <v>99</v>
      </c>
      <c r="K425" s="10" t="s">
        <v>717</v>
      </c>
      <c r="L425" s="10" t="s">
        <v>717</v>
      </c>
      <c r="M425" s="19" t="s">
        <v>735</v>
      </c>
      <c r="N425" s="17"/>
      <c r="Q425" s="16"/>
      <c r="S425" s="1">
        <f t="shared" si="170"/>
        <v>0</v>
      </c>
      <c r="T425" s="1">
        <f t="shared" si="171"/>
        <v>0</v>
      </c>
      <c r="U425" s="1">
        <f t="shared" si="172"/>
        <v>0</v>
      </c>
      <c r="V425" s="1">
        <f t="shared" si="173"/>
        <v>0</v>
      </c>
      <c r="W425" s="1">
        <f t="shared" si="174"/>
        <v>0</v>
      </c>
      <c r="X425" s="1">
        <f t="shared" si="175"/>
        <v>0</v>
      </c>
      <c r="Y425" s="1">
        <f t="shared" si="176"/>
        <v>0</v>
      </c>
      <c r="Z425" s="1">
        <f t="shared" si="177"/>
        <v>0</v>
      </c>
      <c r="AA425" s="1">
        <f t="shared" si="178"/>
        <v>0</v>
      </c>
      <c r="AB425" s="1">
        <f t="shared" si="179"/>
        <v>0</v>
      </c>
      <c r="AD425" s="1">
        <f t="shared" si="180"/>
        <v>0</v>
      </c>
      <c r="AE425" s="1">
        <f t="shared" si="181"/>
        <v>0</v>
      </c>
      <c r="AF425" s="1">
        <f t="shared" si="166"/>
        <v>0</v>
      </c>
      <c r="AG425" s="1">
        <f t="shared" si="167"/>
        <v>0</v>
      </c>
      <c r="AH425" s="1">
        <f t="shared" si="168"/>
        <v>0</v>
      </c>
      <c r="AI425" s="1">
        <f t="shared" si="169"/>
        <v>1</v>
      </c>
    </row>
    <row r="426" spans="1:35" ht="14.25" customHeight="1" x14ac:dyDescent="0.25">
      <c r="A426" s="15">
        <v>0</v>
      </c>
      <c r="B426" s="15">
        <v>2</v>
      </c>
      <c r="C426" s="15">
        <v>7</v>
      </c>
      <c r="D426" s="16" t="s">
        <v>85</v>
      </c>
      <c r="E426" s="16" t="s">
        <v>28</v>
      </c>
      <c r="F426" s="16" t="s">
        <v>279</v>
      </c>
      <c r="G426" s="16" t="s">
        <v>280</v>
      </c>
      <c r="H426" s="16" t="s">
        <v>355</v>
      </c>
      <c r="I426" s="15" t="s">
        <v>435</v>
      </c>
      <c r="J426" s="15">
        <v>99</v>
      </c>
      <c r="K426" s="10" t="s">
        <v>717</v>
      </c>
      <c r="L426" s="10" t="s">
        <v>717</v>
      </c>
      <c r="M426" s="19" t="s">
        <v>735</v>
      </c>
      <c r="N426" s="17"/>
      <c r="Q426" s="16"/>
      <c r="S426" s="1">
        <f t="shared" si="170"/>
        <v>0</v>
      </c>
      <c r="T426" s="1">
        <f t="shared" si="171"/>
        <v>0</v>
      </c>
      <c r="U426" s="1">
        <f t="shared" si="172"/>
        <v>0</v>
      </c>
      <c r="V426" s="1">
        <f t="shared" si="173"/>
        <v>0</v>
      </c>
      <c r="W426" s="1">
        <f t="shared" si="174"/>
        <v>0</v>
      </c>
      <c r="X426" s="1">
        <f t="shared" si="175"/>
        <v>0</v>
      </c>
      <c r="Y426" s="1">
        <f t="shared" si="176"/>
        <v>0</v>
      </c>
      <c r="Z426" s="1">
        <f t="shared" si="177"/>
        <v>0</v>
      </c>
      <c r="AA426" s="1">
        <f t="shared" si="178"/>
        <v>0</v>
      </c>
      <c r="AB426" s="1">
        <f t="shared" si="179"/>
        <v>0</v>
      </c>
      <c r="AD426" s="1">
        <f t="shared" si="180"/>
        <v>0</v>
      </c>
      <c r="AE426" s="1">
        <f t="shared" si="181"/>
        <v>0</v>
      </c>
      <c r="AF426" s="1">
        <f t="shared" si="166"/>
        <v>0</v>
      </c>
      <c r="AG426" s="1">
        <f t="shared" si="167"/>
        <v>0</v>
      </c>
      <c r="AH426" s="1">
        <f t="shared" si="168"/>
        <v>0</v>
      </c>
      <c r="AI426" s="1">
        <f t="shared" si="169"/>
        <v>1</v>
      </c>
    </row>
    <row r="427" spans="1:35" ht="14.25" customHeight="1" x14ac:dyDescent="0.25">
      <c r="A427" s="40">
        <v>0</v>
      </c>
      <c r="B427" s="40">
        <v>2</v>
      </c>
      <c r="C427" s="40">
        <v>7</v>
      </c>
      <c r="D427" s="39" t="s">
        <v>1944</v>
      </c>
      <c r="E427" s="39" t="s">
        <v>28</v>
      </c>
      <c r="F427" s="39" t="s">
        <v>1945</v>
      </c>
      <c r="G427" s="39" t="s">
        <v>186</v>
      </c>
      <c r="H427" s="39" t="s">
        <v>355</v>
      </c>
      <c r="I427" s="40" t="s">
        <v>1946</v>
      </c>
      <c r="J427" s="40">
        <v>99</v>
      </c>
      <c r="K427" s="36" t="s">
        <v>707</v>
      </c>
      <c r="L427" s="36">
        <v>4</v>
      </c>
      <c r="M427" s="37" t="s">
        <v>735</v>
      </c>
      <c r="N427" s="37" t="s">
        <v>1750</v>
      </c>
      <c r="O427" s="38">
        <v>1</v>
      </c>
      <c r="P427" s="38"/>
      <c r="Q427" s="39" t="s">
        <v>1947</v>
      </c>
      <c r="S427" s="1">
        <f t="shared" si="170"/>
        <v>0</v>
      </c>
      <c r="T427" s="1">
        <f t="shared" si="171"/>
        <v>0</v>
      </c>
      <c r="U427" s="1">
        <f t="shared" si="172"/>
        <v>0</v>
      </c>
      <c r="V427" s="1">
        <f t="shared" si="173"/>
        <v>0</v>
      </c>
      <c r="W427" s="1">
        <f t="shared" si="174"/>
        <v>0</v>
      </c>
      <c r="X427" s="1">
        <f t="shared" si="175"/>
        <v>0</v>
      </c>
      <c r="Y427" s="1">
        <f t="shared" si="176"/>
        <v>0</v>
      </c>
      <c r="Z427" s="1">
        <f t="shared" si="177"/>
        <v>0</v>
      </c>
      <c r="AA427" s="1">
        <f t="shared" si="178"/>
        <v>0</v>
      </c>
      <c r="AB427" s="1">
        <f t="shared" si="179"/>
        <v>0</v>
      </c>
      <c r="AD427" s="1">
        <f t="shared" si="180"/>
        <v>0</v>
      </c>
      <c r="AE427" s="1">
        <f t="shared" si="181"/>
        <v>1</v>
      </c>
      <c r="AF427" s="1">
        <f t="shared" si="166"/>
        <v>0</v>
      </c>
      <c r="AG427" s="1">
        <f t="shared" si="167"/>
        <v>1</v>
      </c>
      <c r="AH427" s="1">
        <f t="shared" si="168"/>
        <v>0</v>
      </c>
      <c r="AI427" s="1">
        <f t="shared" si="169"/>
        <v>1</v>
      </c>
    </row>
    <row r="428" spans="1:35" ht="14.25" customHeight="1" x14ac:dyDescent="0.25">
      <c r="A428" s="47">
        <v>0</v>
      </c>
      <c r="B428" s="47">
        <v>2</v>
      </c>
      <c r="C428" s="47">
        <v>7</v>
      </c>
      <c r="D428" s="48" t="s">
        <v>555</v>
      </c>
      <c r="E428" s="48" t="s">
        <v>28</v>
      </c>
      <c r="F428" s="68" t="s">
        <v>1883</v>
      </c>
      <c r="G428" s="48" t="s">
        <v>558</v>
      </c>
      <c r="H428" s="48" t="s">
        <v>355</v>
      </c>
      <c r="I428" s="47" t="s">
        <v>559</v>
      </c>
      <c r="J428" s="47">
        <v>99</v>
      </c>
      <c r="K428" s="49" t="s">
        <v>717</v>
      </c>
      <c r="L428" s="49" t="s">
        <v>717</v>
      </c>
      <c r="M428" s="50" t="s">
        <v>735</v>
      </c>
      <c r="N428" s="50" t="s">
        <v>1809</v>
      </c>
      <c r="O428" s="51"/>
      <c r="P428" s="51"/>
      <c r="Q428" s="48"/>
      <c r="S428" s="1">
        <f t="shared" si="170"/>
        <v>0</v>
      </c>
      <c r="T428" s="1">
        <f t="shared" si="171"/>
        <v>0</v>
      </c>
      <c r="U428" s="1">
        <f t="shared" si="172"/>
        <v>0</v>
      </c>
      <c r="V428" s="1">
        <f t="shared" si="173"/>
        <v>0</v>
      </c>
      <c r="W428" s="1">
        <f t="shared" si="174"/>
        <v>0</v>
      </c>
      <c r="X428" s="1">
        <f t="shared" si="175"/>
        <v>0</v>
      </c>
      <c r="Y428" s="1">
        <f t="shared" si="176"/>
        <v>0</v>
      </c>
      <c r="Z428" s="1">
        <f t="shared" si="177"/>
        <v>0</v>
      </c>
      <c r="AA428" s="1">
        <f t="shared" si="178"/>
        <v>0</v>
      </c>
      <c r="AB428" s="1">
        <f t="shared" si="179"/>
        <v>0</v>
      </c>
      <c r="AD428" s="1">
        <f t="shared" si="180"/>
        <v>0</v>
      </c>
      <c r="AE428" s="1">
        <f t="shared" si="181"/>
        <v>0</v>
      </c>
      <c r="AF428" s="1">
        <f t="shared" si="166"/>
        <v>0</v>
      </c>
      <c r="AG428" s="1">
        <f t="shared" si="167"/>
        <v>0</v>
      </c>
      <c r="AH428" s="1">
        <f t="shared" si="168"/>
        <v>0</v>
      </c>
      <c r="AI428" s="1">
        <f t="shared" si="169"/>
        <v>1</v>
      </c>
    </row>
    <row r="429" spans="1:35" ht="14.25" customHeight="1" x14ac:dyDescent="0.25">
      <c r="A429" s="47">
        <v>1</v>
      </c>
      <c r="B429" s="47">
        <v>2</v>
      </c>
      <c r="C429" s="47">
        <v>7</v>
      </c>
      <c r="D429" s="48" t="s">
        <v>555</v>
      </c>
      <c r="E429" s="48" t="s">
        <v>28</v>
      </c>
      <c r="F429" s="68" t="s">
        <v>1884</v>
      </c>
      <c r="G429" s="48" t="s">
        <v>556</v>
      </c>
      <c r="H429" s="48" t="s">
        <v>355</v>
      </c>
      <c r="I429" s="47" t="s">
        <v>557</v>
      </c>
      <c r="J429" s="47">
        <v>99</v>
      </c>
      <c r="K429" s="49" t="s">
        <v>717</v>
      </c>
      <c r="L429" s="49" t="s">
        <v>717</v>
      </c>
      <c r="M429" s="50" t="s">
        <v>735</v>
      </c>
      <c r="N429" s="50" t="s">
        <v>1809</v>
      </c>
      <c r="O429" s="51"/>
      <c r="P429" s="51"/>
      <c r="Q429" s="48"/>
      <c r="S429" s="1">
        <f t="shared" si="170"/>
        <v>0</v>
      </c>
      <c r="T429" s="1">
        <f t="shared" si="171"/>
        <v>0</v>
      </c>
      <c r="U429" s="1">
        <f t="shared" si="172"/>
        <v>0</v>
      </c>
      <c r="V429" s="1">
        <f t="shared" si="173"/>
        <v>0</v>
      </c>
      <c r="W429" s="1">
        <f t="shared" si="174"/>
        <v>0</v>
      </c>
      <c r="X429" s="1">
        <f t="shared" si="175"/>
        <v>0</v>
      </c>
      <c r="Y429" s="1">
        <f t="shared" si="176"/>
        <v>0</v>
      </c>
      <c r="Z429" s="1">
        <f t="shared" si="177"/>
        <v>0</v>
      </c>
      <c r="AA429" s="1">
        <f t="shared" si="178"/>
        <v>0</v>
      </c>
      <c r="AB429" s="1">
        <f t="shared" si="179"/>
        <v>0</v>
      </c>
      <c r="AD429" s="1">
        <f t="shared" si="180"/>
        <v>0</v>
      </c>
      <c r="AE429" s="1">
        <f t="shared" si="181"/>
        <v>0</v>
      </c>
      <c r="AF429" s="1">
        <f t="shared" si="166"/>
        <v>0</v>
      </c>
      <c r="AG429" s="1">
        <f t="shared" si="167"/>
        <v>0</v>
      </c>
      <c r="AH429" s="1">
        <f t="shared" si="168"/>
        <v>0</v>
      </c>
      <c r="AI429" s="1">
        <f t="shared" si="169"/>
        <v>0</v>
      </c>
    </row>
    <row r="430" spans="1:35" ht="14.25" customHeight="1" x14ac:dyDescent="0.25">
      <c r="A430" s="47">
        <v>0</v>
      </c>
      <c r="B430" s="47">
        <v>2</v>
      </c>
      <c r="C430" s="47">
        <v>7</v>
      </c>
      <c r="D430" s="48" t="s">
        <v>1192</v>
      </c>
      <c r="E430" s="48" t="s">
        <v>28</v>
      </c>
      <c r="F430" s="48" t="s">
        <v>1685</v>
      </c>
      <c r="G430" s="48" t="s">
        <v>236</v>
      </c>
      <c r="H430" s="48" t="s">
        <v>355</v>
      </c>
      <c r="I430" s="47" t="s">
        <v>1373</v>
      </c>
      <c r="J430" s="47">
        <v>99</v>
      </c>
      <c r="K430" s="49" t="s">
        <v>716</v>
      </c>
      <c r="L430" s="49" t="s">
        <v>717</v>
      </c>
      <c r="M430" s="50" t="s">
        <v>735</v>
      </c>
      <c r="N430" s="50" t="s">
        <v>1742</v>
      </c>
      <c r="O430" s="51"/>
      <c r="P430" s="51"/>
      <c r="Q430" s="48"/>
      <c r="S430" s="1">
        <f t="shared" si="170"/>
        <v>0</v>
      </c>
      <c r="T430" s="1">
        <f t="shared" si="171"/>
        <v>0</v>
      </c>
      <c r="U430" s="1">
        <f t="shared" si="172"/>
        <v>0</v>
      </c>
      <c r="V430" s="1">
        <f t="shared" si="173"/>
        <v>0</v>
      </c>
      <c r="W430" s="1">
        <f t="shared" si="174"/>
        <v>0</v>
      </c>
      <c r="X430" s="1">
        <f t="shared" si="175"/>
        <v>0</v>
      </c>
      <c r="Y430" s="1">
        <f t="shared" si="176"/>
        <v>0</v>
      </c>
      <c r="Z430" s="1">
        <f t="shared" si="177"/>
        <v>0</v>
      </c>
      <c r="AA430" s="1">
        <f t="shared" si="178"/>
        <v>0</v>
      </c>
      <c r="AB430" s="1">
        <f t="shared" si="179"/>
        <v>0</v>
      </c>
      <c r="AD430" s="1">
        <f t="shared" si="180"/>
        <v>0</v>
      </c>
      <c r="AE430" s="1">
        <f t="shared" si="181"/>
        <v>0</v>
      </c>
      <c r="AF430" s="1">
        <f t="shared" si="166"/>
        <v>0</v>
      </c>
      <c r="AG430" s="1">
        <f t="shared" si="167"/>
        <v>0</v>
      </c>
      <c r="AH430" s="1">
        <f t="shared" si="168"/>
        <v>0</v>
      </c>
      <c r="AI430" s="1">
        <f t="shared" si="169"/>
        <v>1</v>
      </c>
    </row>
    <row r="431" spans="1:35" ht="14.25" customHeight="1" x14ac:dyDescent="0.25">
      <c r="A431" s="47">
        <v>1</v>
      </c>
      <c r="B431" s="47">
        <v>2</v>
      </c>
      <c r="C431" s="47">
        <v>7</v>
      </c>
      <c r="D431" s="48" t="s">
        <v>1192</v>
      </c>
      <c r="E431" s="48" t="s">
        <v>28</v>
      </c>
      <c r="F431" s="48" t="s">
        <v>1686</v>
      </c>
      <c r="G431" s="48" t="s">
        <v>1359</v>
      </c>
      <c r="H431" s="48" t="s">
        <v>355</v>
      </c>
      <c r="I431" s="47" t="s">
        <v>1374</v>
      </c>
      <c r="J431" s="47">
        <v>99</v>
      </c>
      <c r="K431" s="49" t="s">
        <v>716</v>
      </c>
      <c r="L431" s="49" t="s">
        <v>717</v>
      </c>
      <c r="M431" s="50" t="s">
        <v>735</v>
      </c>
      <c r="N431" s="50" t="s">
        <v>1742</v>
      </c>
      <c r="O431" s="51"/>
      <c r="P431" s="51"/>
      <c r="Q431" s="48"/>
      <c r="S431" s="1">
        <f t="shared" si="170"/>
        <v>0</v>
      </c>
      <c r="T431" s="1">
        <f t="shared" si="171"/>
        <v>0</v>
      </c>
      <c r="U431" s="1">
        <f t="shared" si="172"/>
        <v>0</v>
      </c>
      <c r="V431" s="1">
        <f t="shared" si="173"/>
        <v>0</v>
      </c>
      <c r="W431" s="1">
        <f t="shared" si="174"/>
        <v>0</v>
      </c>
      <c r="X431" s="1">
        <f t="shared" si="175"/>
        <v>0</v>
      </c>
      <c r="Y431" s="1">
        <f t="shared" si="176"/>
        <v>0</v>
      </c>
      <c r="Z431" s="1">
        <f t="shared" si="177"/>
        <v>0</v>
      </c>
      <c r="AA431" s="1">
        <f t="shared" si="178"/>
        <v>0</v>
      </c>
      <c r="AB431" s="1">
        <f t="shared" si="179"/>
        <v>0</v>
      </c>
      <c r="AD431" s="1">
        <f t="shared" si="180"/>
        <v>0</v>
      </c>
      <c r="AE431" s="1">
        <f t="shared" si="181"/>
        <v>0</v>
      </c>
      <c r="AF431" s="1">
        <f t="shared" si="166"/>
        <v>0</v>
      </c>
      <c r="AG431" s="1">
        <f t="shared" si="167"/>
        <v>0</v>
      </c>
      <c r="AH431" s="1">
        <f t="shared" si="168"/>
        <v>0</v>
      </c>
      <c r="AI431" s="1">
        <f t="shared" si="169"/>
        <v>0</v>
      </c>
    </row>
    <row r="432" spans="1:35" ht="14.25" customHeight="1" x14ac:dyDescent="0.25">
      <c r="A432" s="34">
        <v>0</v>
      </c>
      <c r="B432" s="34">
        <v>2</v>
      </c>
      <c r="C432" s="34">
        <v>7</v>
      </c>
      <c r="D432" s="35" t="s">
        <v>1260</v>
      </c>
      <c r="E432" s="35" t="s">
        <v>28</v>
      </c>
      <c r="F432" s="35" t="s">
        <v>1259</v>
      </c>
      <c r="G432" s="35" t="s">
        <v>1244</v>
      </c>
      <c r="H432" s="35" t="s">
        <v>355</v>
      </c>
      <c r="I432" s="34" t="s">
        <v>1261</v>
      </c>
      <c r="J432" s="34">
        <v>99</v>
      </c>
      <c r="K432" s="36" t="s">
        <v>707</v>
      </c>
      <c r="L432" s="36" t="s">
        <v>717</v>
      </c>
      <c r="M432" s="37" t="s">
        <v>735</v>
      </c>
      <c r="N432" s="37" t="s">
        <v>1750</v>
      </c>
      <c r="O432" s="38">
        <v>1</v>
      </c>
      <c r="P432" s="38"/>
      <c r="Q432" s="35"/>
      <c r="S432" s="1">
        <f t="shared" si="170"/>
        <v>0</v>
      </c>
      <c r="T432" s="1">
        <f t="shared" si="171"/>
        <v>0</v>
      </c>
      <c r="U432" s="1">
        <f t="shared" si="172"/>
        <v>0</v>
      </c>
      <c r="V432" s="1">
        <f t="shared" si="173"/>
        <v>0</v>
      </c>
      <c r="W432" s="1">
        <f t="shared" si="174"/>
        <v>0</v>
      </c>
      <c r="X432" s="1">
        <f t="shared" si="175"/>
        <v>0</v>
      </c>
      <c r="Y432" s="1">
        <f t="shared" si="176"/>
        <v>0</v>
      </c>
      <c r="Z432" s="1">
        <f t="shared" si="177"/>
        <v>0</v>
      </c>
      <c r="AA432" s="1">
        <f t="shared" si="178"/>
        <v>0</v>
      </c>
      <c r="AB432" s="1">
        <f t="shared" si="179"/>
        <v>0</v>
      </c>
      <c r="AD432" s="1">
        <f t="shared" si="180"/>
        <v>0</v>
      </c>
      <c r="AE432" s="1">
        <f t="shared" si="181"/>
        <v>1</v>
      </c>
      <c r="AF432" s="1">
        <f t="shared" si="166"/>
        <v>0</v>
      </c>
      <c r="AG432" s="1">
        <f t="shared" si="167"/>
        <v>1</v>
      </c>
      <c r="AH432" s="1">
        <f t="shared" si="168"/>
        <v>0</v>
      </c>
      <c r="AI432" s="1">
        <f t="shared" si="169"/>
        <v>1</v>
      </c>
    </row>
    <row r="433" spans="1:36" ht="14.25" customHeight="1" x14ac:dyDescent="0.25">
      <c r="A433" s="34">
        <v>1</v>
      </c>
      <c r="B433" s="34">
        <v>2</v>
      </c>
      <c r="C433" s="34">
        <v>7</v>
      </c>
      <c r="D433" s="35" t="s">
        <v>1260</v>
      </c>
      <c r="E433" s="35" t="s">
        <v>28</v>
      </c>
      <c r="F433" s="35" t="s">
        <v>1258</v>
      </c>
      <c r="G433" s="35" t="s">
        <v>39</v>
      </c>
      <c r="H433" s="35" t="s">
        <v>355</v>
      </c>
      <c r="I433" s="34" t="s">
        <v>1262</v>
      </c>
      <c r="J433" s="34">
        <v>9</v>
      </c>
      <c r="K433" s="36" t="s">
        <v>707</v>
      </c>
      <c r="L433" s="36" t="s">
        <v>717</v>
      </c>
      <c r="M433" s="37" t="s">
        <v>735</v>
      </c>
      <c r="N433" s="37" t="s">
        <v>1750</v>
      </c>
      <c r="O433" s="38">
        <v>1</v>
      </c>
      <c r="P433" s="38"/>
      <c r="Q433" s="35"/>
      <c r="S433" s="1">
        <f t="shared" si="170"/>
        <v>0</v>
      </c>
      <c r="T433" s="1">
        <f t="shared" si="171"/>
        <v>0</v>
      </c>
      <c r="U433" s="1">
        <f t="shared" si="172"/>
        <v>0</v>
      </c>
      <c r="V433" s="1">
        <f t="shared" si="173"/>
        <v>0</v>
      </c>
      <c r="W433" s="1">
        <f t="shared" si="174"/>
        <v>0</v>
      </c>
      <c r="X433" s="1">
        <f t="shared" si="175"/>
        <v>0</v>
      </c>
      <c r="Y433" s="1">
        <f t="shared" si="176"/>
        <v>0</v>
      </c>
      <c r="Z433" s="1">
        <f t="shared" si="177"/>
        <v>0</v>
      </c>
      <c r="AA433" s="1">
        <f t="shared" si="178"/>
        <v>1</v>
      </c>
      <c r="AB433" s="1">
        <f t="shared" si="179"/>
        <v>0</v>
      </c>
      <c r="AD433" s="1">
        <f t="shared" si="180"/>
        <v>0</v>
      </c>
      <c r="AE433" s="1">
        <f t="shared" si="181"/>
        <v>1</v>
      </c>
      <c r="AF433" s="1">
        <f t="shared" si="166"/>
        <v>0</v>
      </c>
      <c r="AG433" s="1">
        <f t="shared" si="167"/>
        <v>0</v>
      </c>
      <c r="AH433" s="1">
        <f t="shared" si="168"/>
        <v>0</v>
      </c>
      <c r="AI433" s="1">
        <f t="shared" si="169"/>
        <v>0</v>
      </c>
    </row>
    <row r="434" spans="1:36" ht="14.25" customHeight="1" x14ac:dyDescent="0.25">
      <c r="A434" s="34">
        <v>1</v>
      </c>
      <c r="B434" s="34">
        <v>2</v>
      </c>
      <c r="C434" s="34">
        <v>7</v>
      </c>
      <c r="D434" s="35" t="s">
        <v>1260</v>
      </c>
      <c r="E434" s="35" t="s">
        <v>28</v>
      </c>
      <c r="F434" s="39" t="s">
        <v>1831</v>
      </c>
      <c r="G434" s="39" t="s">
        <v>259</v>
      </c>
      <c r="H434" s="35" t="s">
        <v>355</v>
      </c>
      <c r="I434" s="40" t="s">
        <v>30</v>
      </c>
      <c r="J434" s="34">
        <v>8</v>
      </c>
      <c r="K434" s="36" t="s">
        <v>707</v>
      </c>
      <c r="L434" s="36" t="s">
        <v>717</v>
      </c>
      <c r="M434" s="37" t="s">
        <v>735</v>
      </c>
      <c r="N434" s="37" t="s">
        <v>1750</v>
      </c>
      <c r="O434" s="38">
        <v>1</v>
      </c>
      <c r="P434" s="38"/>
      <c r="Q434" s="35"/>
      <c r="S434" s="1">
        <f t="shared" si="170"/>
        <v>0</v>
      </c>
      <c r="T434" s="1">
        <f t="shared" si="171"/>
        <v>0</v>
      </c>
      <c r="U434" s="1">
        <f t="shared" si="172"/>
        <v>0</v>
      </c>
      <c r="V434" s="1">
        <f t="shared" si="173"/>
        <v>0</v>
      </c>
      <c r="W434" s="1">
        <f t="shared" si="174"/>
        <v>0</v>
      </c>
      <c r="X434" s="1">
        <f t="shared" si="175"/>
        <v>0</v>
      </c>
      <c r="Y434" s="1">
        <f t="shared" si="176"/>
        <v>0</v>
      </c>
      <c r="Z434" s="1">
        <f t="shared" si="177"/>
        <v>1</v>
      </c>
      <c r="AA434" s="1">
        <f t="shared" si="178"/>
        <v>0</v>
      </c>
      <c r="AB434" s="1">
        <f t="shared" si="179"/>
        <v>0</v>
      </c>
      <c r="AD434" s="1">
        <f t="shared" si="180"/>
        <v>0</v>
      </c>
      <c r="AE434" s="1">
        <f t="shared" si="181"/>
        <v>1</v>
      </c>
      <c r="AF434" s="1">
        <f t="shared" si="166"/>
        <v>0</v>
      </c>
      <c r="AG434" s="1">
        <f t="shared" si="167"/>
        <v>0</v>
      </c>
      <c r="AH434" s="1">
        <f t="shared" si="168"/>
        <v>0</v>
      </c>
      <c r="AI434" s="1">
        <f t="shared" si="169"/>
        <v>0</v>
      </c>
    </row>
    <row r="435" spans="1:36" ht="14.25" customHeight="1" x14ac:dyDescent="0.25">
      <c r="A435" s="34">
        <v>0</v>
      </c>
      <c r="B435" s="34">
        <v>2</v>
      </c>
      <c r="C435" s="34">
        <v>7</v>
      </c>
      <c r="D435" s="35" t="s">
        <v>51</v>
      </c>
      <c r="E435" s="35" t="s">
        <v>28</v>
      </c>
      <c r="F435" s="35" t="s">
        <v>677</v>
      </c>
      <c r="G435" s="35" t="s">
        <v>186</v>
      </c>
      <c r="H435" s="35" t="s">
        <v>355</v>
      </c>
      <c r="I435" s="34" t="s">
        <v>391</v>
      </c>
      <c r="J435" s="34">
        <v>99</v>
      </c>
      <c r="K435" s="36" t="s">
        <v>716</v>
      </c>
      <c r="L435" s="36" t="s">
        <v>717</v>
      </c>
      <c r="M435" s="37" t="s">
        <v>735</v>
      </c>
      <c r="N435" s="37" t="s">
        <v>1756</v>
      </c>
      <c r="O435" s="38">
        <v>1</v>
      </c>
      <c r="P435" s="38"/>
      <c r="Q435" s="35"/>
      <c r="S435" s="1">
        <f t="shared" si="170"/>
        <v>0</v>
      </c>
      <c r="T435" s="1">
        <f t="shared" si="171"/>
        <v>0</v>
      </c>
      <c r="U435" s="1">
        <f t="shared" si="172"/>
        <v>0</v>
      </c>
      <c r="V435" s="1">
        <f t="shared" si="173"/>
        <v>0</v>
      </c>
      <c r="W435" s="1">
        <f t="shared" si="174"/>
        <v>0</v>
      </c>
      <c r="X435" s="1">
        <f t="shared" si="175"/>
        <v>0</v>
      </c>
      <c r="Y435" s="1">
        <f t="shared" si="176"/>
        <v>0</v>
      </c>
      <c r="Z435" s="1">
        <f t="shared" si="177"/>
        <v>0</v>
      </c>
      <c r="AA435" s="1">
        <f t="shared" si="178"/>
        <v>0</v>
      </c>
      <c r="AB435" s="1">
        <f t="shared" si="179"/>
        <v>0</v>
      </c>
      <c r="AD435" s="1">
        <f t="shared" si="180"/>
        <v>0</v>
      </c>
      <c r="AE435" s="1">
        <f t="shared" si="181"/>
        <v>1</v>
      </c>
      <c r="AF435" s="1">
        <f t="shared" si="166"/>
        <v>0</v>
      </c>
      <c r="AG435" s="1">
        <f t="shared" si="167"/>
        <v>1</v>
      </c>
      <c r="AH435" s="1">
        <f t="shared" si="168"/>
        <v>0</v>
      </c>
      <c r="AI435" s="1">
        <f t="shared" si="169"/>
        <v>1</v>
      </c>
    </row>
    <row r="436" spans="1:36" ht="14.25" customHeight="1" x14ac:dyDescent="0.25">
      <c r="A436" s="47">
        <v>0</v>
      </c>
      <c r="B436" s="47">
        <v>2</v>
      </c>
      <c r="C436" s="47">
        <v>7</v>
      </c>
      <c r="D436" s="48" t="s">
        <v>1085</v>
      </c>
      <c r="E436" s="48" t="s">
        <v>28</v>
      </c>
      <c r="F436" s="48" t="s">
        <v>1002</v>
      </c>
      <c r="G436" s="48" t="s">
        <v>241</v>
      </c>
      <c r="H436" s="48" t="s">
        <v>355</v>
      </c>
      <c r="I436" s="47" t="s">
        <v>1110</v>
      </c>
      <c r="J436" s="47">
        <v>1</v>
      </c>
      <c r="K436" s="49" t="s">
        <v>716</v>
      </c>
      <c r="L436" s="49" t="s">
        <v>717</v>
      </c>
      <c r="M436" s="50" t="s">
        <v>735</v>
      </c>
      <c r="N436" s="50" t="s">
        <v>1742</v>
      </c>
      <c r="O436" s="51"/>
      <c r="P436" s="51"/>
      <c r="Q436" s="48"/>
      <c r="S436" s="1">
        <f t="shared" si="170"/>
        <v>1</v>
      </c>
      <c r="T436" s="1">
        <f t="shared" si="171"/>
        <v>0</v>
      </c>
      <c r="U436" s="1">
        <f t="shared" si="172"/>
        <v>0</v>
      </c>
      <c r="V436" s="1">
        <f t="shared" si="173"/>
        <v>0</v>
      </c>
      <c r="W436" s="1">
        <f t="shared" si="174"/>
        <v>0</v>
      </c>
      <c r="X436" s="1">
        <f t="shared" si="175"/>
        <v>0</v>
      </c>
      <c r="Y436" s="1">
        <f t="shared" si="176"/>
        <v>0</v>
      </c>
      <c r="Z436" s="1">
        <f t="shared" si="177"/>
        <v>0</v>
      </c>
      <c r="AA436" s="1">
        <f t="shared" si="178"/>
        <v>0</v>
      </c>
      <c r="AB436" s="1">
        <f t="shared" si="179"/>
        <v>0</v>
      </c>
      <c r="AD436" s="1">
        <f t="shared" si="180"/>
        <v>0</v>
      </c>
      <c r="AE436" s="1">
        <f t="shared" si="181"/>
        <v>0</v>
      </c>
      <c r="AF436" s="1">
        <f t="shared" si="166"/>
        <v>0</v>
      </c>
      <c r="AG436" s="1">
        <f t="shared" si="167"/>
        <v>0</v>
      </c>
      <c r="AH436" s="1">
        <f t="shared" si="168"/>
        <v>0</v>
      </c>
      <c r="AI436" s="1">
        <f t="shared" si="169"/>
        <v>1</v>
      </c>
    </row>
    <row r="437" spans="1:36" ht="14.25" customHeight="1" x14ac:dyDescent="0.25">
      <c r="A437" s="47">
        <v>1</v>
      </c>
      <c r="B437" s="47">
        <v>2</v>
      </c>
      <c r="C437" s="47">
        <v>7</v>
      </c>
      <c r="D437" s="48" t="s">
        <v>1085</v>
      </c>
      <c r="E437" s="48" t="s">
        <v>28</v>
      </c>
      <c r="F437" s="48" t="s">
        <v>1003</v>
      </c>
      <c r="G437" s="48" t="s">
        <v>1103</v>
      </c>
      <c r="H437" s="48" t="s">
        <v>355</v>
      </c>
      <c r="I437" s="47" t="s">
        <v>1111</v>
      </c>
      <c r="J437" s="47">
        <v>1</v>
      </c>
      <c r="K437" s="49" t="s">
        <v>716</v>
      </c>
      <c r="L437" s="49" t="s">
        <v>717</v>
      </c>
      <c r="M437" s="50" t="s">
        <v>735</v>
      </c>
      <c r="N437" s="50" t="s">
        <v>1742</v>
      </c>
      <c r="O437" s="51"/>
      <c r="P437" s="51"/>
      <c r="Q437" s="48"/>
      <c r="S437" s="1">
        <f t="shared" si="170"/>
        <v>1</v>
      </c>
      <c r="T437" s="1">
        <f t="shared" si="171"/>
        <v>0</v>
      </c>
      <c r="U437" s="1">
        <f t="shared" si="172"/>
        <v>0</v>
      </c>
      <c r="V437" s="1">
        <f t="shared" si="173"/>
        <v>0</v>
      </c>
      <c r="W437" s="1">
        <f t="shared" si="174"/>
        <v>0</v>
      </c>
      <c r="X437" s="1">
        <f t="shared" si="175"/>
        <v>0</v>
      </c>
      <c r="Y437" s="1">
        <f t="shared" si="176"/>
        <v>0</v>
      </c>
      <c r="Z437" s="1">
        <f t="shared" si="177"/>
        <v>0</v>
      </c>
      <c r="AA437" s="1">
        <f t="shared" si="178"/>
        <v>0</v>
      </c>
      <c r="AB437" s="1">
        <f t="shared" si="179"/>
        <v>0</v>
      </c>
      <c r="AD437" s="1">
        <f t="shared" si="180"/>
        <v>0</v>
      </c>
      <c r="AE437" s="1">
        <f t="shared" si="181"/>
        <v>0</v>
      </c>
      <c r="AF437" s="1">
        <f t="shared" si="166"/>
        <v>0</v>
      </c>
      <c r="AG437" s="1">
        <f t="shared" si="167"/>
        <v>0</v>
      </c>
      <c r="AH437" s="1">
        <f t="shared" si="168"/>
        <v>0</v>
      </c>
      <c r="AI437" s="1">
        <f t="shared" si="169"/>
        <v>0</v>
      </c>
    </row>
    <row r="438" spans="1:36" ht="14.25" customHeight="1" x14ac:dyDescent="0.25">
      <c r="A438" s="34">
        <v>0</v>
      </c>
      <c r="B438" s="34">
        <v>2</v>
      </c>
      <c r="C438" s="34">
        <v>7</v>
      </c>
      <c r="D438" s="35" t="s">
        <v>1645</v>
      </c>
      <c r="E438" s="35" t="s">
        <v>157</v>
      </c>
      <c r="F438" s="35" t="s">
        <v>1498</v>
      </c>
      <c r="G438" s="35" t="s">
        <v>1499</v>
      </c>
      <c r="H438" s="35" t="s">
        <v>355</v>
      </c>
      <c r="I438" s="34" t="s">
        <v>1500</v>
      </c>
      <c r="J438" s="34">
        <v>99</v>
      </c>
      <c r="K438" s="36" t="s">
        <v>959</v>
      </c>
      <c r="L438" s="36" t="s">
        <v>726</v>
      </c>
      <c r="M438" s="37" t="s">
        <v>736</v>
      </c>
      <c r="N438" s="37" t="s">
        <v>1755</v>
      </c>
      <c r="O438" s="38">
        <v>1</v>
      </c>
      <c r="P438" s="38"/>
      <c r="Q438" s="35"/>
      <c r="S438" s="1">
        <f t="shared" si="170"/>
        <v>0</v>
      </c>
      <c r="T438" s="1">
        <f t="shared" si="171"/>
        <v>0</v>
      </c>
      <c r="U438" s="1">
        <f t="shared" si="172"/>
        <v>0</v>
      </c>
      <c r="V438" s="1">
        <f t="shared" si="173"/>
        <v>0</v>
      </c>
      <c r="W438" s="1">
        <f t="shared" si="174"/>
        <v>0</v>
      </c>
      <c r="X438" s="1">
        <f t="shared" si="175"/>
        <v>0</v>
      </c>
      <c r="Y438" s="1">
        <f t="shared" si="176"/>
        <v>0</v>
      </c>
      <c r="Z438" s="1">
        <f t="shared" si="177"/>
        <v>0</v>
      </c>
      <c r="AA438" s="1">
        <f t="shared" si="178"/>
        <v>0</v>
      </c>
      <c r="AB438" s="1">
        <f t="shared" si="179"/>
        <v>0</v>
      </c>
      <c r="AD438" s="1">
        <f t="shared" si="180"/>
        <v>0</v>
      </c>
      <c r="AE438" s="1">
        <f t="shared" si="181"/>
        <v>1</v>
      </c>
      <c r="AF438" s="1">
        <f t="shared" si="166"/>
        <v>0</v>
      </c>
      <c r="AG438" s="1">
        <f t="shared" si="167"/>
        <v>1</v>
      </c>
      <c r="AH438" s="1">
        <f t="shared" si="168"/>
        <v>0</v>
      </c>
      <c r="AI438" s="1">
        <f t="shared" si="169"/>
        <v>1</v>
      </c>
    </row>
    <row r="439" spans="1:36" ht="14.25" customHeight="1" x14ac:dyDescent="0.25">
      <c r="A439" s="47">
        <v>0</v>
      </c>
      <c r="B439" s="47">
        <v>2</v>
      </c>
      <c r="C439" s="47">
        <v>7</v>
      </c>
      <c r="D439" s="48" t="s">
        <v>82</v>
      </c>
      <c r="E439" s="48" t="s">
        <v>28</v>
      </c>
      <c r="F439" s="48" t="s">
        <v>275</v>
      </c>
      <c r="G439" s="48" t="s">
        <v>276</v>
      </c>
      <c r="H439" s="48" t="s">
        <v>355</v>
      </c>
      <c r="I439" s="47" t="s">
        <v>430</v>
      </c>
      <c r="J439" s="47">
        <v>7</v>
      </c>
      <c r="K439" s="49" t="s">
        <v>959</v>
      </c>
      <c r="L439" s="49" t="s">
        <v>958</v>
      </c>
      <c r="M439" s="50" t="s">
        <v>972</v>
      </c>
      <c r="N439" s="50" t="s">
        <v>1816</v>
      </c>
      <c r="O439" s="51"/>
      <c r="P439" s="51"/>
      <c r="Q439" s="48"/>
      <c r="S439" s="1">
        <f t="shared" si="170"/>
        <v>0</v>
      </c>
      <c r="T439" s="1">
        <f t="shared" si="171"/>
        <v>0</v>
      </c>
      <c r="U439" s="1">
        <f t="shared" si="172"/>
        <v>0</v>
      </c>
      <c r="V439" s="1">
        <f t="shared" si="173"/>
        <v>0</v>
      </c>
      <c r="W439" s="1">
        <f t="shared" si="174"/>
        <v>0</v>
      </c>
      <c r="X439" s="1">
        <f t="shared" si="175"/>
        <v>0</v>
      </c>
      <c r="Y439" s="1">
        <f t="shared" si="176"/>
        <v>1</v>
      </c>
      <c r="Z439" s="1">
        <f t="shared" si="177"/>
        <v>0</v>
      </c>
      <c r="AA439" s="1">
        <f t="shared" si="178"/>
        <v>0</v>
      </c>
      <c r="AB439" s="1">
        <f t="shared" si="179"/>
        <v>0</v>
      </c>
      <c r="AD439" s="1">
        <f t="shared" si="180"/>
        <v>0</v>
      </c>
      <c r="AE439" s="1">
        <f t="shared" si="181"/>
        <v>0</v>
      </c>
      <c r="AF439" s="1">
        <f t="shared" si="166"/>
        <v>0</v>
      </c>
      <c r="AG439" s="1">
        <f t="shared" si="167"/>
        <v>0</v>
      </c>
      <c r="AH439" s="1">
        <f t="shared" si="168"/>
        <v>0</v>
      </c>
      <c r="AI439" s="1">
        <f t="shared" si="169"/>
        <v>1</v>
      </c>
    </row>
    <row r="440" spans="1:36" ht="14.25" customHeight="1" x14ac:dyDescent="0.25">
      <c r="A440" s="47">
        <v>0</v>
      </c>
      <c r="B440" s="47">
        <v>2</v>
      </c>
      <c r="C440" s="47">
        <v>7</v>
      </c>
      <c r="D440" s="48" t="s">
        <v>76</v>
      </c>
      <c r="E440" s="48" t="s">
        <v>28</v>
      </c>
      <c r="F440" s="48" t="s">
        <v>1688</v>
      </c>
      <c r="G440" s="48" t="s">
        <v>191</v>
      </c>
      <c r="H440" s="48" t="s">
        <v>355</v>
      </c>
      <c r="I440" s="47" t="s">
        <v>424</v>
      </c>
      <c r="J440" s="47">
        <v>99</v>
      </c>
      <c r="K440" s="49" t="s">
        <v>958</v>
      </c>
      <c r="L440" s="49" t="s">
        <v>717</v>
      </c>
      <c r="M440" s="50" t="s">
        <v>735</v>
      </c>
      <c r="N440" s="50" t="s">
        <v>1742</v>
      </c>
      <c r="O440" s="51"/>
      <c r="P440" s="51"/>
      <c r="Q440" s="48"/>
      <c r="S440" s="1">
        <f t="shared" si="170"/>
        <v>0</v>
      </c>
      <c r="T440" s="1">
        <f t="shared" si="171"/>
        <v>0</v>
      </c>
      <c r="U440" s="1">
        <f t="shared" si="172"/>
        <v>0</v>
      </c>
      <c r="V440" s="1">
        <f t="shared" si="173"/>
        <v>0</v>
      </c>
      <c r="W440" s="1">
        <f t="shared" si="174"/>
        <v>0</v>
      </c>
      <c r="X440" s="1">
        <f t="shared" si="175"/>
        <v>0</v>
      </c>
      <c r="Y440" s="1">
        <f t="shared" si="176"/>
        <v>0</v>
      </c>
      <c r="Z440" s="1">
        <f t="shared" si="177"/>
        <v>0</v>
      </c>
      <c r="AA440" s="1">
        <f t="shared" si="178"/>
        <v>0</v>
      </c>
      <c r="AB440" s="1">
        <f t="shared" si="179"/>
        <v>0</v>
      </c>
      <c r="AD440" s="1">
        <f t="shared" si="180"/>
        <v>0</v>
      </c>
      <c r="AE440" s="1">
        <f t="shared" si="181"/>
        <v>0</v>
      </c>
      <c r="AF440" s="1">
        <f t="shared" si="166"/>
        <v>0</v>
      </c>
      <c r="AG440" s="1">
        <f t="shared" si="167"/>
        <v>0</v>
      </c>
      <c r="AH440" s="1">
        <f t="shared" si="168"/>
        <v>0</v>
      </c>
      <c r="AI440" s="1">
        <f t="shared" si="169"/>
        <v>1</v>
      </c>
    </row>
    <row r="441" spans="1:36" ht="14.25" customHeight="1" x14ac:dyDescent="0.25">
      <c r="A441" s="34">
        <v>0</v>
      </c>
      <c r="B441" s="34">
        <v>2</v>
      </c>
      <c r="C441" s="34">
        <v>7</v>
      </c>
      <c r="D441" s="35" t="s">
        <v>1647</v>
      </c>
      <c r="E441" s="35" t="s">
        <v>164</v>
      </c>
      <c r="F441" s="35" t="s">
        <v>245</v>
      </c>
      <c r="G441" s="35" t="s">
        <v>219</v>
      </c>
      <c r="H441" s="35" t="s">
        <v>355</v>
      </c>
      <c r="I441" s="34" t="s">
        <v>409</v>
      </c>
      <c r="J441" s="34">
        <v>99</v>
      </c>
      <c r="K441" s="36" t="s">
        <v>717</v>
      </c>
      <c r="L441" s="36" t="s">
        <v>726</v>
      </c>
      <c r="M441" s="37" t="s">
        <v>736</v>
      </c>
      <c r="N441" s="37" t="s">
        <v>1734</v>
      </c>
      <c r="O441" s="38">
        <v>1</v>
      </c>
      <c r="P441" s="38">
        <v>1</v>
      </c>
      <c r="Q441" s="35"/>
      <c r="S441" s="1">
        <f t="shared" si="170"/>
        <v>0</v>
      </c>
      <c r="T441" s="1">
        <f t="shared" si="171"/>
        <v>0</v>
      </c>
      <c r="U441" s="1">
        <f t="shared" si="172"/>
        <v>0</v>
      </c>
      <c r="V441" s="1">
        <f t="shared" si="173"/>
        <v>0</v>
      </c>
      <c r="W441" s="1">
        <f t="shared" si="174"/>
        <v>0</v>
      </c>
      <c r="X441" s="1">
        <f t="shared" si="175"/>
        <v>0</v>
      </c>
      <c r="Y441" s="1">
        <f t="shared" si="176"/>
        <v>0</v>
      </c>
      <c r="Z441" s="1">
        <f t="shared" si="177"/>
        <v>0</v>
      </c>
      <c r="AA441" s="1">
        <f t="shared" si="178"/>
        <v>0</v>
      </c>
      <c r="AB441" s="1">
        <f t="shared" si="179"/>
        <v>0</v>
      </c>
      <c r="AD441" s="1">
        <f t="shared" si="180"/>
        <v>1</v>
      </c>
      <c r="AE441" s="1">
        <f t="shared" si="181"/>
        <v>0</v>
      </c>
      <c r="AF441" s="1">
        <f t="shared" si="166"/>
        <v>1</v>
      </c>
      <c r="AG441" s="1">
        <f t="shared" si="167"/>
        <v>0</v>
      </c>
      <c r="AH441" s="1">
        <f t="shared" si="168"/>
        <v>1</v>
      </c>
      <c r="AI441" s="1">
        <f t="shared" si="169"/>
        <v>0</v>
      </c>
    </row>
    <row r="442" spans="1:36" ht="14.25" customHeight="1" x14ac:dyDescent="0.25">
      <c r="A442" s="34">
        <v>0</v>
      </c>
      <c r="B442" s="34">
        <v>2</v>
      </c>
      <c r="C442" s="34">
        <v>7</v>
      </c>
      <c r="D442" s="35" t="s">
        <v>1545</v>
      </c>
      <c r="E442" s="35" t="s">
        <v>157</v>
      </c>
      <c r="F442" s="35" t="s">
        <v>1546</v>
      </c>
      <c r="G442" s="35" t="s">
        <v>39</v>
      </c>
      <c r="H442" s="35" t="s">
        <v>355</v>
      </c>
      <c r="I442" s="34" t="s">
        <v>1547</v>
      </c>
      <c r="J442" s="34">
        <v>99</v>
      </c>
      <c r="K442" s="36" t="s">
        <v>717</v>
      </c>
      <c r="L442" s="36" t="s">
        <v>726</v>
      </c>
      <c r="M442" s="37" t="s">
        <v>736</v>
      </c>
      <c r="N442" s="37" t="s">
        <v>1755</v>
      </c>
      <c r="O442" s="38">
        <v>1</v>
      </c>
      <c r="P442" s="38"/>
      <c r="Q442" s="35"/>
      <c r="S442" s="1">
        <f t="shared" si="170"/>
        <v>0</v>
      </c>
      <c r="T442" s="1">
        <f t="shared" si="171"/>
        <v>0</v>
      </c>
      <c r="U442" s="1">
        <f t="shared" si="172"/>
        <v>0</v>
      </c>
      <c r="V442" s="1">
        <f t="shared" si="173"/>
        <v>0</v>
      </c>
      <c r="W442" s="1">
        <f t="shared" si="174"/>
        <v>0</v>
      </c>
      <c r="X442" s="1">
        <f t="shared" si="175"/>
        <v>0</v>
      </c>
      <c r="Y442" s="1">
        <f t="shared" si="176"/>
        <v>0</v>
      </c>
      <c r="Z442" s="1">
        <f t="shared" si="177"/>
        <v>0</v>
      </c>
      <c r="AA442" s="1">
        <f t="shared" si="178"/>
        <v>0</v>
      </c>
      <c r="AB442" s="1">
        <f t="shared" si="179"/>
        <v>0</v>
      </c>
      <c r="AD442" s="1">
        <f t="shared" si="180"/>
        <v>0</v>
      </c>
      <c r="AE442" s="1">
        <f t="shared" si="181"/>
        <v>1</v>
      </c>
      <c r="AF442" s="1">
        <f t="shared" si="166"/>
        <v>0</v>
      </c>
      <c r="AG442" s="1">
        <f t="shared" si="167"/>
        <v>1</v>
      </c>
      <c r="AH442" s="1">
        <f t="shared" si="168"/>
        <v>0</v>
      </c>
      <c r="AI442" s="1">
        <f t="shared" si="169"/>
        <v>1</v>
      </c>
    </row>
    <row r="443" spans="1:36" ht="14.25" customHeight="1" x14ac:dyDescent="0.25">
      <c r="A443" s="47">
        <v>0</v>
      </c>
      <c r="B443" s="47">
        <v>2</v>
      </c>
      <c r="C443" s="47">
        <v>7</v>
      </c>
      <c r="D443" s="48" t="s">
        <v>1269</v>
      </c>
      <c r="E443" s="48" t="s">
        <v>1531</v>
      </c>
      <c r="F443" s="48" t="s">
        <v>1362</v>
      </c>
      <c r="G443" s="48" t="s">
        <v>187</v>
      </c>
      <c r="H443" s="48" t="s">
        <v>355</v>
      </c>
      <c r="I443" s="47" t="s">
        <v>1375</v>
      </c>
      <c r="J443" s="47">
        <v>1</v>
      </c>
      <c r="K443" s="49" t="s">
        <v>717</v>
      </c>
      <c r="L443" s="49" t="s">
        <v>720</v>
      </c>
      <c r="M443" s="50" t="s">
        <v>1445</v>
      </c>
      <c r="N443" s="50" t="s">
        <v>1742</v>
      </c>
      <c r="O443" s="51"/>
      <c r="P443" s="51"/>
      <c r="Q443" s="48"/>
      <c r="S443" s="1">
        <f t="shared" si="170"/>
        <v>1</v>
      </c>
      <c r="T443" s="1">
        <f t="shared" si="171"/>
        <v>0</v>
      </c>
      <c r="U443" s="1">
        <f t="shared" si="172"/>
        <v>0</v>
      </c>
      <c r="V443" s="1">
        <f t="shared" si="173"/>
        <v>0</v>
      </c>
      <c r="W443" s="1">
        <f t="shared" si="174"/>
        <v>0</v>
      </c>
      <c r="X443" s="1">
        <f t="shared" si="175"/>
        <v>0</v>
      </c>
      <c r="Y443" s="1">
        <f t="shared" si="176"/>
        <v>0</v>
      </c>
      <c r="Z443" s="1">
        <f t="shared" si="177"/>
        <v>0</v>
      </c>
      <c r="AA443" s="1">
        <f t="shared" si="178"/>
        <v>0</v>
      </c>
      <c r="AB443" s="1">
        <f t="shared" si="179"/>
        <v>0</v>
      </c>
      <c r="AD443" s="1">
        <f t="shared" si="180"/>
        <v>0</v>
      </c>
      <c r="AE443" s="1">
        <f t="shared" si="181"/>
        <v>0</v>
      </c>
      <c r="AF443" s="1">
        <f t="shared" si="166"/>
        <v>0</v>
      </c>
      <c r="AG443" s="1">
        <f t="shared" si="167"/>
        <v>0</v>
      </c>
      <c r="AH443" s="1">
        <f t="shared" si="168"/>
        <v>0</v>
      </c>
      <c r="AI443" s="1">
        <f t="shared" si="169"/>
        <v>1</v>
      </c>
    </row>
    <row r="444" spans="1:36" ht="14.25" customHeight="1" x14ac:dyDescent="0.25">
      <c r="A444" s="34">
        <v>0</v>
      </c>
      <c r="B444" s="34">
        <v>2</v>
      </c>
      <c r="C444" s="34">
        <v>7</v>
      </c>
      <c r="D444" s="35" t="s">
        <v>66</v>
      </c>
      <c r="E444" s="35" t="s">
        <v>28</v>
      </c>
      <c r="F444" s="35" t="s">
        <v>978</v>
      </c>
      <c r="G444" s="35" t="s">
        <v>1105</v>
      </c>
      <c r="H444" s="35" t="s">
        <v>355</v>
      </c>
      <c r="I444" s="34" t="s">
        <v>1112</v>
      </c>
      <c r="J444" s="34">
        <v>99</v>
      </c>
      <c r="K444" s="36" t="s">
        <v>717</v>
      </c>
      <c r="L444" s="36" t="s">
        <v>717</v>
      </c>
      <c r="M444" s="37" t="s">
        <v>735</v>
      </c>
      <c r="N444" s="37" t="s">
        <v>1750</v>
      </c>
      <c r="O444" s="38">
        <v>1</v>
      </c>
      <c r="P444" s="38"/>
      <c r="Q444" s="35"/>
      <c r="S444" s="1">
        <f t="shared" si="170"/>
        <v>0</v>
      </c>
      <c r="T444" s="1">
        <f t="shared" si="171"/>
        <v>0</v>
      </c>
      <c r="U444" s="1">
        <f t="shared" si="172"/>
        <v>0</v>
      </c>
      <c r="V444" s="1">
        <f t="shared" si="173"/>
        <v>0</v>
      </c>
      <c r="W444" s="1">
        <f t="shared" si="174"/>
        <v>0</v>
      </c>
      <c r="X444" s="1">
        <f t="shared" si="175"/>
        <v>0</v>
      </c>
      <c r="Y444" s="1">
        <f t="shared" si="176"/>
        <v>0</v>
      </c>
      <c r="Z444" s="1">
        <f t="shared" si="177"/>
        <v>0</v>
      </c>
      <c r="AA444" s="1">
        <f t="shared" si="178"/>
        <v>0</v>
      </c>
      <c r="AB444" s="1">
        <f t="shared" si="179"/>
        <v>0</v>
      </c>
      <c r="AD444" s="1">
        <f t="shared" si="180"/>
        <v>0</v>
      </c>
      <c r="AE444" s="1">
        <f t="shared" si="181"/>
        <v>1</v>
      </c>
      <c r="AF444" s="1">
        <f t="shared" si="166"/>
        <v>0</v>
      </c>
      <c r="AG444" s="1">
        <f t="shared" si="167"/>
        <v>1</v>
      </c>
      <c r="AH444" s="1">
        <f t="shared" si="168"/>
        <v>0</v>
      </c>
      <c r="AI444" s="1">
        <f t="shared" si="169"/>
        <v>1</v>
      </c>
    </row>
    <row r="445" spans="1:36" ht="14.25" customHeight="1" x14ac:dyDescent="0.25">
      <c r="A445" s="34">
        <v>1</v>
      </c>
      <c r="B445" s="34">
        <v>2</v>
      </c>
      <c r="C445" s="34">
        <v>7</v>
      </c>
      <c r="D445" s="35" t="s">
        <v>66</v>
      </c>
      <c r="E445" s="35" t="s">
        <v>28</v>
      </c>
      <c r="F445" s="35" t="s">
        <v>246</v>
      </c>
      <c r="G445" s="35" t="s">
        <v>225</v>
      </c>
      <c r="H445" s="35" t="s">
        <v>355</v>
      </c>
      <c r="I445" s="34" t="s">
        <v>410</v>
      </c>
      <c r="J445" s="34">
        <v>99</v>
      </c>
      <c r="K445" s="36" t="s">
        <v>717</v>
      </c>
      <c r="L445" s="36" t="s">
        <v>717</v>
      </c>
      <c r="M445" s="37" t="s">
        <v>735</v>
      </c>
      <c r="N445" s="37" t="s">
        <v>1750</v>
      </c>
      <c r="O445" s="38">
        <v>1</v>
      </c>
      <c r="P445" s="38"/>
      <c r="Q445" s="35"/>
      <c r="S445" s="1">
        <f t="shared" si="170"/>
        <v>0</v>
      </c>
      <c r="T445" s="1">
        <f t="shared" si="171"/>
        <v>0</v>
      </c>
      <c r="U445" s="1">
        <f t="shared" si="172"/>
        <v>0</v>
      </c>
      <c r="V445" s="1">
        <f t="shared" si="173"/>
        <v>0</v>
      </c>
      <c r="W445" s="1">
        <f t="shared" si="174"/>
        <v>0</v>
      </c>
      <c r="X445" s="1">
        <f t="shared" si="175"/>
        <v>0</v>
      </c>
      <c r="Y445" s="1">
        <f t="shared" si="176"/>
        <v>0</v>
      </c>
      <c r="Z445" s="1">
        <f t="shared" si="177"/>
        <v>0</v>
      </c>
      <c r="AA445" s="1">
        <f t="shared" si="178"/>
        <v>0</v>
      </c>
      <c r="AB445" s="1">
        <f t="shared" si="179"/>
        <v>0</v>
      </c>
      <c r="AD445" s="1">
        <f t="shared" si="180"/>
        <v>0</v>
      </c>
      <c r="AE445" s="1">
        <f t="shared" si="181"/>
        <v>1</v>
      </c>
      <c r="AF445" s="1">
        <f t="shared" si="166"/>
        <v>0</v>
      </c>
      <c r="AG445" s="1">
        <f t="shared" si="167"/>
        <v>0</v>
      </c>
      <c r="AH445" s="1">
        <f t="shared" si="168"/>
        <v>0</v>
      </c>
      <c r="AI445" s="1">
        <f t="shared" si="169"/>
        <v>0</v>
      </c>
    </row>
    <row r="446" spans="1:36" s="2" customFormat="1" ht="14.25" customHeight="1" x14ac:dyDescent="0.25">
      <c r="A446" s="34">
        <v>1</v>
      </c>
      <c r="B446" s="34">
        <v>2</v>
      </c>
      <c r="C446" s="34">
        <v>7</v>
      </c>
      <c r="D446" s="35" t="s">
        <v>66</v>
      </c>
      <c r="E446" s="35" t="s">
        <v>28</v>
      </c>
      <c r="F446" s="35" t="s">
        <v>247</v>
      </c>
      <c r="G446" s="35" t="s">
        <v>221</v>
      </c>
      <c r="H446" s="35" t="s">
        <v>355</v>
      </c>
      <c r="I446" s="34" t="s">
        <v>411</v>
      </c>
      <c r="J446" s="34">
        <v>8</v>
      </c>
      <c r="K446" s="36" t="s">
        <v>717</v>
      </c>
      <c r="L446" s="36" t="s">
        <v>717</v>
      </c>
      <c r="M446" s="37" t="s">
        <v>735</v>
      </c>
      <c r="N446" s="37" t="s">
        <v>1750</v>
      </c>
      <c r="O446" s="38">
        <v>1</v>
      </c>
      <c r="P446" s="38"/>
      <c r="Q446" s="35"/>
      <c r="R446" s="1"/>
      <c r="S446" s="1">
        <f t="shared" si="170"/>
        <v>0</v>
      </c>
      <c r="T446" s="1">
        <f t="shared" si="171"/>
        <v>0</v>
      </c>
      <c r="U446" s="1">
        <f t="shared" si="172"/>
        <v>0</v>
      </c>
      <c r="V446" s="1">
        <f t="shared" si="173"/>
        <v>0</v>
      </c>
      <c r="W446" s="1">
        <f t="shared" si="174"/>
        <v>0</v>
      </c>
      <c r="X446" s="1">
        <f t="shared" si="175"/>
        <v>0</v>
      </c>
      <c r="Y446" s="1">
        <f t="shared" si="176"/>
        <v>0</v>
      </c>
      <c r="Z446" s="1">
        <f t="shared" si="177"/>
        <v>1</v>
      </c>
      <c r="AA446" s="1">
        <f t="shared" si="178"/>
        <v>0</v>
      </c>
      <c r="AB446" s="1">
        <f t="shared" si="179"/>
        <v>0</v>
      </c>
      <c r="AC446" s="1"/>
      <c r="AD446" s="1">
        <f t="shared" si="180"/>
        <v>0</v>
      </c>
      <c r="AE446" s="1">
        <f t="shared" si="181"/>
        <v>1</v>
      </c>
      <c r="AF446" s="1">
        <f t="shared" si="166"/>
        <v>0</v>
      </c>
      <c r="AG446" s="1">
        <f t="shared" si="167"/>
        <v>0</v>
      </c>
      <c r="AH446" s="1">
        <f t="shared" si="168"/>
        <v>0</v>
      </c>
      <c r="AI446" s="1">
        <f t="shared" si="169"/>
        <v>0</v>
      </c>
      <c r="AJ446" s="1"/>
    </row>
    <row r="447" spans="1:36" s="2" customFormat="1" ht="14.25" customHeight="1" x14ac:dyDescent="0.25">
      <c r="A447" s="34">
        <v>1</v>
      </c>
      <c r="B447" s="34">
        <v>2</v>
      </c>
      <c r="C447" s="34">
        <v>7</v>
      </c>
      <c r="D447" s="35" t="s">
        <v>66</v>
      </c>
      <c r="E447" s="35" t="s">
        <v>28</v>
      </c>
      <c r="F447" s="35" t="s">
        <v>1038</v>
      </c>
      <c r="G447" s="35" t="s">
        <v>39</v>
      </c>
      <c r="H447" s="35" t="s">
        <v>355</v>
      </c>
      <c r="I447" s="34" t="s">
        <v>1039</v>
      </c>
      <c r="J447" s="34">
        <v>1</v>
      </c>
      <c r="K447" s="36" t="s">
        <v>717</v>
      </c>
      <c r="L447" s="36" t="s">
        <v>717</v>
      </c>
      <c r="M447" s="37" t="s">
        <v>735</v>
      </c>
      <c r="N447" s="37" t="s">
        <v>1750</v>
      </c>
      <c r="O447" s="38">
        <v>1</v>
      </c>
      <c r="P447" s="38"/>
      <c r="Q447" s="35"/>
      <c r="R447" s="1"/>
      <c r="S447" s="1">
        <f t="shared" si="170"/>
        <v>1</v>
      </c>
      <c r="T447" s="1">
        <f t="shared" si="171"/>
        <v>0</v>
      </c>
      <c r="U447" s="1">
        <f t="shared" si="172"/>
        <v>0</v>
      </c>
      <c r="V447" s="1">
        <f t="shared" si="173"/>
        <v>0</v>
      </c>
      <c r="W447" s="1">
        <f t="shared" si="174"/>
        <v>0</v>
      </c>
      <c r="X447" s="1">
        <f t="shared" si="175"/>
        <v>0</v>
      </c>
      <c r="Y447" s="1">
        <f t="shared" si="176"/>
        <v>0</v>
      </c>
      <c r="Z447" s="1">
        <f t="shared" si="177"/>
        <v>0</v>
      </c>
      <c r="AA447" s="1">
        <f t="shared" si="178"/>
        <v>0</v>
      </c>
      <c r="AB447" s="1">
        <f t="shared" si="179"/>
        <v>0</v>
      </c>
      <c r="AC447" s="1"/>
      <c r="AD447" s="1">
        <f t="shared" si="180"/>
        <v>0</v>
      </c>
      <c r="AE447" s="1">
        <f t="shared" si="181"/>
        <v>1</v>
      </c>
      <c r="AF447" s="1">
        <f t="shared" si="166"/>
        <v>0</v>
      </c>
      <c r="AG447" s="1">
        <f t="shared" si="167"/>
        <v>0</v>
      </c>
      <c r="AH447" s="1">
        <f t="shared" si="168"/>
        <v>0</v>
      </c>
      <c r="AI447" s="1">
        <f t="shared" si="169"/>
        <v>0</v>
      </c>
      <c r="AJ447" s="1"/>
    </row>
    <row r="448" spans="1:36" ht="14.25" customHeight="1" x14ac:dyDescent="0.25">
      <c r="A448" s="34">
        <v>1</v>
      </c>
      <c r="B448" s="34">
        <v>2</v>
      </c>
      <c r="C448" s="34">
        <v>7</v>
      </c>
      <c r="D448" s="35" t="s">
        <v>66</v>
      </c>
      <c r="E448" s="35" t="s">
        <v>28</v>
      </c>
      <c r="F448" s="35" t="s">
        <v>1040</v>
      </c>
      <c r="G448" s="35" t="s">
        <v>303</v>
      </c>
      <c r="H448" s="35" t="s">
        <v>355</v>
      </c>
      <c r="I448" s="34" t="s">
        <v>1041</v>
      </c>
      <c r="J448" s="34">
        <v>1</v>
      </c>
      <c r="K448" s="36" t="s">
        <v>717</v>
      </c>
      <c r="L448" s="36" t="s">
        <v>717</v>
      </c>
      <c r="M448" s="37" t="s">
        <v>735</v>
      </c>
      <c r="N448" s="37" t="s">
        <v>1750</v>
      </c>
      <c r="O448" s="38">
        <v>1</v>
      </c>
      <c r="P448" s="38"/>
      <c r="Q448" s="35"/>
      <c r="S448" s="1">
        <f t="shared" si="170"/>
        <v>1</v>
      </c>
      <c r="T448" s="1">
        <f t="shared" si="171"/>
        <v>0</v>
      </c>
      <c r="U448" s="1">
        <f t="shared" si="172"/>
        <v>0</v>
      </c>
      <c r="V448" s="1">
        <f t="shared" si="173"/>
        <v>0</v>
      </c>
      <c r="W448" s="1">
        <f t="shared" si="174"/>
        <v>0</v>
      </c>
      <c r="X448" s="1">
        <f t="shared" si="175"/>
        <v>0</v>
      </c>
      <c r="Y448" s="1">
        <f t="shared" si="176"/>
        <v>0</v>
      </c>
      <c r="Z448" s="1">
        <f t="shared" si="177"/>
        <v>0</v>
      </c>
      <c r="AA448" s="1">
        <f t="shared" si="178"/>
        <v>0</v>
      </c>
      <c r="AB448" s="1">
        <f t="shared" si="179"/>
        <v>0</v>
      </c>
      <c r="AD448" s="1">
        <f t="shared" ref="AD448:AD449" si="198">+O448*P448</f>
        <v>0</v>
      </c>
      <c r="AE448" s="1">
        <f t="shared" ref="AE448:AE449" si="199">O448*(1-P448)</f>
        <v>1</v>
      </c>
      <c r="AF448" s="1">
        <f t="shared" si="166"/>
        <v>0</v>
      </c>
      <c r="AG448" s="1">
        <f t="shared" si="167"/>
        <v>0</v>
      </c>
      <c r="AH448" s="1">
        <f t="shared" si="168"/>
        <v>0</v>
      </c>
      <c r="AI448" s="1">
        <f t="shared" si="169"/>
        <v>0</v>
      </c>
    </row>
    <row r="449" spans="1:35" ht="14.25" customHeight="1" x14ac:dyDescent="0.25">
      <c r="A449" s="34">
        <v>0</v>
      </c>
      <c r="B449" s="34">
        <v>2</v>
      </c>
      <c r="C449" s="34">
        <v>7</v>
      </c>
      <c r="D449" s="35" t="s">
        <v>1580</v>
      </c>
      <c r="E449" s="35" t="s">
        <v>157</v>
      </c>
      <c r="F449" s="35" t="s">
        <v>1581</v>
      </c>
      <c r="G449" s="35" t="s">
        <v>208</v>
      </c>
      <c r="H449" s="35" t="s">
        <v>355</v>
      </c>
      <c r="I449" s="34" t="s">
        <v>1582</v>
      </c>
      <c r="J449" s="34">
        <v>99</v>
      </c>
      <c r="K449" s="36" t="s">
        <v>716</v>
      </c>
      <c r="L449" s="36" t="s">
        <v>726</v>
      </c>
      <c r="M449" s="37" t="s">
        <v>736</v>
      </c>
      <c r="N449" s="37" t="s">
        <v>1953</v>
      </c>
      <c r="O449" s="38">
        <v>1</v>
      </c>
      <c r="P449" s="38"/>
      <c r="Q449" s="35"/>
      <c r="S449" s="1">
        <f t="shared" si="170"/>
        <v>0</v>
      </c>
      <c r="T449" s="1">
        <f t="shared" si="171"/>
        <v>0</v>
      </c>
      <c r="U449" s="1">
        <f t="shared" si="172"/>
        <v>0</v>
      </c>
      <c r="V449" s="1">
        <f t="shared" si="173"/>
        <v>0</v>
      </c>
      <c r="W449" s="1">
        <f t="shared" si="174"/>
        <v>0</v>
      </c>
      <c r="X449" s="1">
        <f t="shared" si="175"/>
        <v>0</v>
      </c>
      <c r="Y449" s="1">
        <f t="shared" si="176"/>
        <v>0</v>
      </c>
      <c r="Z449" s="1">
        <f t="shared" si="177"/>
        <v>0</v>
      </c>
      <c r="AA449" s="1">
        <f t="shared" si="178"/>
        <v>0</v>
      </c>
      <c r="AB449" s="1">
        <f t="shared" si="179"/>
        <v>0</v>
      </c>
      <c r="AD449" s="1">
        <f t="shared" si="198"/>
        <v>0</v>
      </c>
      <c r="AE449" s="1">
        <f t="shared" si="199"/>
        <v>1</v>
      </c>
      <c r="AF449" s="1">
        <f t="shared" si="166"/>
        <v>0</v>
      </c>
      <c r="AG449" s="1">
        <f t="shared" si="167"/>
        <v>1</v>
      </c>
      <c r="AH449" s="1">
        <f t="shared" si="168"/>
        <v>0</v>
      </c>
      <c r="AI449" s="1">
        <f t="shared" si="169"/>
        <v>1</v>
      </c>
    </row>
    <row r="450" spans="1:35" ht="14.25" customHeight="1" x14ac:dyDescent="0.25">
      <c r="A450" s="47">
        <v>0</v>
      </c>
      <c r="B450" s="47">
        <v>2</v>
      </c>
      <c r="C450" s="47">
        <v>7</v>
      </c>
      <c r="D450" s="48" t="s">
        <v>1136</v>
      </c>
      <c r="E450" s="48" t="s">
        <v>28</v>
      </c>
      <c r="F450" s="48" t="s">
        <v>1137</v>
      </c>
      <c r="G450" s="48" t="s">
        <v>221</v>
      </c>
      <c r="H450" s="48" t="s">
        <v>355</v>
      </c>
      <c r="I450" s="47" t="s">
        <v>1138</v>
      </c>
      <c r="J450" s="47">
        <v>8</v>
      </c>
      <c r="K450" s="49" t="s">
        <v>959</v>
      </c>
      <c r="L450" s="49" t="s">
        <v>717</v>
      </c>
      <c r="M450" s="50" t="s">
        <v>735</v>
      </c>
      <c r="N450" s="50" t="s">
        <v>1809</v>
      </c>
      <c r="O450" s="51"/>
      <c r="P450" s="51"/>
      <c r="Q450" s="48"/>
      <c r="S450" s="1">
        <f t="shared" si="170"/>
        <v>0</v>
      </c>
      <c r="T450" s="1">
        <f t="shared" si="171"/>
        <v>0</v>
      </c>
      <c r="U450" s="1">
        <f t="shared" si="172"/>
        <v>0</v>
      </c>
      <c r="V450" s="1">
        <f t="shared" si="173"/>
        <v>0</v>
      </c>
      <c r="W450" s="1">
        <f t="shared" si="174"/>
        <v>0</v>
      </c>
      <c r="X450" s="1">
        <f t="shared" si="175"/>
        <v>0</v>
      </c>
      <c r="Y450" s="1">
        <f t="shared" si="176"/>
        <v>0</v>
      </c>
      <c r="Z450" s="1">
        <f t="shared" si="177"/>
        <v>1</v>
      </c>
      <c r="AA450" s="1">
        <f t="shared" si="178"/>
        <v>0</v>
      </c>
      <c r="AB450" s="1">
        <f t="shared" si="179"/>
        <v>0</v>
      </c>
      <c r="AD450" s="1">
        <f t="shared" si="180"/>
        <v>0</v>
      </c>
      <c r="AE450" s="1">
        <f t="shared" si="181"/>
        <v>0</v>
      </c>
      <c r="AF450" s="1">
        <f t="shared" si="166"/>
        <v>0</v>
      </c>
      <c r="AG450" s="1">
        <f t="shared" si="167"/>
        <v>0</v>
      </c>
      <c r="AH450" s="1">
        <f t="shared" si="168"/>
        <v>0</v>
      </c>
      <c r="AI450" s="1">
        <f t="shared" si="169"/>
        <v>1</v>
      </c>
    </row>
    <row r="451" spans="1:35" ht="14.25" customHeight="1" x14ac:dyDescent="0.25">
      <c r="A451" s="47">
        <v>0</v>
      </c>
      <c r="B451" s="47">
        <v>2</v>
      </c>
      <c r="C451" s="47">
        <v>7</v>
      </c>
      <c r="D451" s="48" t="s">
        <v>73</v>
      </c>
      <c r="E451" s="48" t="s">
        <v>28</v>
      </c>
      <c r="F451" s="48" t="s">
        <v>265</v>
      </c>
      <c r="G451" s="48" t="s">
        <v>195</v>
      </c>
      <c r="H451" s="48" t="s">
        <v>355</v>
      </c>
      <c r="I451" s="47" t="s">
        <v>422</v>
      </c>
      <c r="J451" s="47">
        <v>9</v>
      </c>
      <c r="K451" s="49" t="s">
        <v>716</v>
      </c>
      <c r="L451" s="49" t="s">
        <v>717</v>
      </c>
      <c r="M451" s="50" t="s">
        <v>735</v>
      </c>
      <c r="N451" s="50" t="s">
        <v>1742</v>
      </c>
      <c r="O451" s="51"/>
      <c r="P451" s="51"/>
      <c r="Q451" s="48"/>
      <c r="S451" s="1">
        <f t="shared" si="170"/>
        <v>0</v>
      </c>
      <c r="T451" s="1">
        <f t="shared" si="171"/>
        <v>0</v>
      </c>
      <c r="U451" s="1">
        <f t="shared" si="172"/>
        <v>0</v>
      </c>
      <c r="V451" s="1">
        <f t="shared" si="173"/>
        <v>0</v>
      </c>
      <c r="W451" s="1">
        <f t="shared" si="174"/>
        <v>0</v>
      </c>
      <c r="X451" s="1">
        <f t="shared" si="175"/>
        <v>0</v>
      </c>
      <c r="Y451" s="1">
        <f t="shared" si="176"/>
        <v>0</v>
      </c>
      <c r="Z451" s="1">
        <f t="shared" si="177"/>
        <v>0</v>
      </c>
      <c r="AA451" s="1">
        <f t="shared" si="178"/>
        <v>1</v>
      </c>
      <c r="AB451" s="1">
        <f t="shared" si="179"/>
        <v>0</v>
      </c>
      <c r="AD451" s="1">
        <f t="shared" si="180"/>
        <v>0</v>
      </c>
      <c r="AE451" s="1">
        <f t="shared" si="181"/>
        <v>0</v>
      </c>
      <c r="AF451" s="1">
        <f t="shared" si="166"/>
        <v>0</v>
      </c>
      <c r="AG451" s="1">
        <f t="shared" si="167"/>
        <v>0</v>
      </c>
      <c r="AH451" s="1">
        <f t="shared" si="168"/>
        <v>0</v>
      </c>
      <c r="AI451" s="1">
        <f t="shared" si="169"/>
        <v>1</v>
      </c>
    </row>
    <row r="452" spans="1:35" ht="14.25" customHeight="1" x14ac:dyDescent="0.25">
      <c r="A452" s="34">
        <v>0</v>
      </c>
      <c r="B452" s="34">
        <v>2</v>
      </c>
      <c r="C452" s="34">
        <v>7</v>
      </c>
      <c r="D452" s="35" t="s">
        <v>59</v>
      </c>
      <c r="E452" s="35" t="s">
        <v>164</v>
      </c>
      <c r="F452" s="35" t="s">
        <v>226</v>
      </c>
      <c r="G452" s="35" t="s">
        <v>227</v>
      </c>
      <c r="H452" s="35" t="s">
        <v>355</v>
      </c>
      <c r="I452" s="34" t="s">
        <v>399</v>
      </c>
      <c r="J452" s="34">
        <v>99</v>
      </c>
      <c r="K452" s="36" t="s">
        <v>717</v>
      </c>
      <c r="L452" s="36" t="s">
        <v>726</v>
      </c>
      <c r="M452" s="37" t="s">
        <v>736</v>
      </c>
      <c r="N452" s="37" t="s">
        <v>1757</v>
      </c>
      <c r="O452" s="38">
        <v>1</v>
      </c>
      <c r="P452" s="38"/>
      <c r="Q452" s="35"/>
      <c r="S452" s="1">
        <f t="shared" si="170"/>
        <v>0</v>
      </c>
      <c r="T452" s="1">
        <f t="shared" si="171"/>
        <v>0</v>
      </c>
      <c r="U452" s="1">
        <f t="shared" si="172"/>
        <v>0</v>
      </c>
      <c r="V452" s="1">
        <f t="shared" si="173"/>
        <v>0</v>
      </c>
      <c r="W452" s="1">
        <f t="shared" si="174"/>
        <v>0</v>
      </c>
      <c r="X452" s="1">
        <f t="shared" si="175"/>
        <v>0</v>
      </c>
      <c r="Y452" s="1">
        <f t="shared" si="176"/>
        <v>0</v>
      </c>
      <c r="Z452" s="1">
        <f t="shared" si="177"/>
        <v>0</v>
      </c>
      <c r="AA452" s="1">
        <f t="shared" si="178"/>
        <v>0</v>
      </c>
      <c r="AB452" s="1">
        <f t="shared" si="179"/>
        <v>0</v>
      </c>
      <c r="AD452" s="1">
        <f t="shared" si="180"/>
        <v>0</v>
      </c>
      <c r="AE452" s="1">
        <f t="shared" si="181"/>
        <v>1</v>
      </c>
      <c r="AF452" s="1">
        <f t="shared" si="166"/>
        <v>0</v>
      </c>
      <c r="AG452" s="1">
        <f t="shared" si="167"/>
        <v>1</v>
      </c>
      <c r="AH452" s="1">
        <f t="shared" si="168"/>
        <v>0</v>
      </c>
      <c r="AI452" s="1">
        <f t="shared" si="169"/>
        <v>1</v>
      </c>
    </row>
    <row r="453" spans="1:35" ht="14.25" customHeight="1" x14ac:dyDescent="0.25">
      <c r="A453" s="34">
        <v>0</v>
      </c>
      <c r="B453" s="34">
        <v>2</v>
      </c>
      <c r="C453" s="34">
        <v>7</v>
      </c>
      <c r="D453" s="35" t="s">
        <v>1079</v>
      </c>
      <c r="E453" s="35" t="s">
        <v>157</v>
      </c>
      <c r="F453" s="35" t="s">
        <v>1080</v>
      </c>
      <c r="G453" s="35" t="s">
        <v>221</v>
      </c>
      <c r="H453" s="35" t="s">
        <v>355</v>
      </c>
      <c r="I453" s="34" t="s">
        <v>1081</v>
      </c>
      <c r="J453" s="34">
        <v>8</v>
      </c>
      <c r="K453" s="36" t="s">
        <v>716</v>
      </c>
      <c r="L453" s="36" t="s">
        <v>726</v>
      </c>
      <c r="M453" s="37" t="s">
        <v>736</v>
      </c>
      <c r="N453" s="37" t="s">
        <v>1755</v>
      </c>
      <c r="O453" s="38">
        <v>1</v>
      </c>
      <c r="P453" s="38"/>
      <c r="Q453" s="35"/>
      <c r="S453" s="1">
        <f t="shared" si="170"/>
        <v>0</v>
      </c>
      <c r="T453" s="1">
        <f t="shared" si="171"/>
        <v>0</v>
      </c>
      <c r="U453" s="1">
        <f t="shared" si="172"/>
        <v>0</v>
      </c>
      <c r="V453" s="1">
        <f t="shared" si="173"/>
        <v>0</v>
      </c>
      <c r="W453" s="1">
        <f t="shared" si="174"/>
        <v>0</v>
      </c>
      <c r="X453" s="1">
        <f t="shared" si="175"/>
        <v>0</v>
      </c>
      <c r="Y453" s="1">
        <f t="shared" si="176"/>
        <v>0</v>
      </c>
      <c r="Z453" s="1">
        <f t="shared" si="177"/>
        <v>1</v>
      </c>
      <c r="AA453" s="1">
        <f t="shared" si="178"/>
        <v>0</v>
      </c>
      <c r="AB453" s="1">
        <f t="shared" si="179"/>
        <v>0</v>
      </c>
      <c r="AD453" s="1">
        <f t="shared" si="180"/>
        <v>0</v>
      </c>
      <c r="AE453" s="1">
        <f t="shared" si="181"/>
        <v>1</v>
      </c>
      <c r="AF453" s="1">
        <f t="shared" si="166"/>
        <v>0</v>
      </c>
      <c r="AG453" s="1">
        <f t="shared" si="167"/>
        <v>1</v>
      </c>
      <c r="AH453" s="1">
        <f t="shared" si="168"/>
        <v>0</v>
      </c>
      <c r="AI453" s="1">
        <f t="shared" si="169"/>
        <v>1</v>
      </c>
    </row>
    <row r="454" spans="1:35" ht="14.25" customHeight="1" x14ac:dyDescent="0.25">
      <c r="A454" s="34">
        <v>0</v>
      </c>
      <c r="B454" s="34">
        <v>2</v>
      </c>
      <c r="C454" s="34">
        <v>7</v>
      </c>
      <c r="D454" s="35" t="s">
        <v>81</v>
      </c>
      <c r="E454" s="35" t="s">
        <v>157</v>
      </c>
      <c r="F454" s="35" t="s">
        <v>274</v>
      </c>
      <c r="G454" s="35" t="s">
        <v>255</v>
      </c>
      <c r="H454" s="35" t="s">
        <v>355</v>
      </c>
      <c r="I454" s="34" t="s">
        <v>429</v>
      </c>
      <c r="J454" s="34">
        <v>99</v>
      </c>
      <c r="K454" s="36" t="s">
        <v>717</v>
      </c>
      <c r="L454" s="36" t="s">
        <v>737</v>
      </c>
      <c r="M454" s="37" t="s">
        <v>738</v>
      </c>
      <c r="N454" s="37" t="s">
        <v>1763</v>
      </c>
      <c r="O454" s="38">
        <v>1</v>
      </c>
      <c r="P454" s="38"/>
      <c r="Q454" s="35"/>
      <c r="S454" s="1">
        <f t="shared" si="170"/>
        <v>0</v>
      </c>
      <c r="T454" s="1">
        <f t="shared" si="171"/>
        <v>0</v>
      </c>
      <c r="U454" s="1">
        <f t="shared" si="172"/>
        <v>0</v>
      </c>
      <c r="V454" s="1">
        <f t="shared" si="173"/>
        <v>0</v>
      </c>
      <c r="W454" s="1">
        <f t="shared" si="174"/>
        <v>0</v>
      </c>
      <c r="X454" s="1">
        <f t="shared" si="175"/>
        <v>0</v>
      </c>
      <c r="Y454" s="1">
        <f t="shared" si="176"/>
        <v>0</v>
      </c>
      <c r="Z454" s="1">
        <f t="shared" si="177"/>
        <v>0</v>
      </c>
      <c r="AA454" s="1">
        <f t="shared" si="178"/>
        <v>0</v>
      </c>
      <c r="AB454" s="1">
        <f t="shared" si="179"/>
        <v>0</v>
      </c>
      <c r="AD454" s="1">
        <f t="shared" si="180"/>
        <v>0</v>
      </c>
      <c r="AE454" s="1">
        <f t="shared" si="181"/>
        <v>1</v>
      </c>
      <c r="AF454" s="1">
        <f t="shared" si="166"/>
        <v>0</v>
      </c>
      <c r="AG454" s="1">
        <f t="shared" si="167"/>
        <v>1</v>
      </c>
      <c r="AH454" s="1">
        <f t="shared" si="168"/>
        <v>0</v>
      </c>
      <c r="AI454" s="1">
        <f t="shared" si="169"/>
        <v>1</v>
      </c>
    </row>
    <row r="455" spans="1:35" ht="14.25" customHeight="1" x14ac:dyDescent="0.25">
      <c r="A455" s="40">
        <v>0</v>
      </c>
      <c r="B455" s="40">
        <v>2</v>
      </c>
      <c r="C455" s="40">
        <v>7</v>
      </c>
      <c r="D455" s="39" t="s">
        <v>1782</v>
      </c>
      <c r="E455" s="39" t="s">
        <v>1783</v>
      </c>
      <c r="F455" s="39" t="s">
        <v>1784</v>
      </c>
      <c r="G455" s="39" t="s">
        <v>191</v>
      </c>
      <c r="H455" s="39" t="s">
        <v>355</v>
      </c>
      <c r="I455" s="40"/>
      <c r="J455" s="40"/>
      <c r="K455" s="36" t="s">
        <v>707</v>
      </c>
      <c r="L455" s="36"/>
      <c r="M455" s="37"/>
      <c r="N455" s="37" t="s">
        <v>1734</v>
      </c>
      <c r="O455" s="38">
        <v>1</v>
      </c>
      <c r="P455" s="38">
        <v>1</v>
      </c>
      <c r="Q455" s="39"/>
      <c r="S455" s="1">
        <f t="shared" si="170"/>
        <v>0</v>
      </c>
      <c r="T455" s="1">
        <f t="shared" si="171"/>
        <v>0</v>
      </c>
      <c r="U455" s="1">
        <f t="shared" si="172"/>
        <v>0</v>
      </c>
      <c r="V455" s="1">
        <f t="shared" si="173"/>
        <v>0</v>
      </c>
      <c r="W455" s="1">
        <f t="shared" si="174"/>
        <v>0</v>
      </c>
      <c r="X455" s="1">
        <f t="shared" si="175"/>
        <v>0</v>
      </c>
      <c r="Y455" s="1">
        <f t="shared" si="176"/>
        <v>0</v>
      </c>
      <c r="Z455" s="1">
        <f t="shared" si="177"/>
        <v>0</v>
      </c>
      <c r="AA455" s="1">
        <f t="shared" si="178"/>
        <v>0</v>
      </c>
      <c r="AB455" s="1">
        <f t="shared" si="179"/>
        <v>0</v>
      </c>
      <c r="AD455" s="1">
        <f t="shared" si="180"/>
        <v>1</v>
      </c>
      <c r="AE455" s="1">
        <f t="shared" si="181"/>
        <v>0</v>
      </c>
      <c r="AF455" s="1">
        <f t="shared" si="166"/>
        <v>1</v>
      </c>
      <c r="AG455" s="1">
        <f t="shared" si="167"/>
        <v>0</v>
      </c>
      <c r="AH455" s="1">
        <f t="shared" si="168"/>
        <v>1</v>
      </c>
      <c r="AI455" s="1">
        <f t="shared" si="169"/>
        <v>0</v>
      </c>
    </row>
    <row r="456" spans="1:35" ht="14.25" customHeight="1" x14ac:dyDescent="0.25">
      <c r="A456" s="47">
        <v>0</v>
      </c>
      <c r="B456" s="47">
        <v>2</v>
      </c>
      <c r="C456" s="47">
        <v>7</v>
      </c>
      <c r="D456" s="48" t="s">
        <v>516</v>
      </c>
      <c r="E456" s="48" t="s">
        <v>157</v>
      </c>
      <c r="F456" s="48" t="s">
        <v>576</v>
      </c>
      <c r="G456" s="48" t="s">
        <v>322</v>
      </c>
      <c r="H456" s="48" t="s">
        <v>355</v>
      </c>
      <c r="I456" s="47" t="s">
        <v>583</v>
      </c>
      <c r="J456" s="47">
        <v>99</v>
      </c>
      <c r="K456" s="49" t="s">
        <v>958</v>
      </c>
      <c r="L456" s="49" t="s">
        <v>726</v>
      </c>
      <c r="M456" s="50" t="s">
        <v>736</v>
      </c>
      <c r="N456" s="50" t="s">
        <v>1745</v>
      </c>
      <c r="O456" s="51"/>
      <c r="P456" s="51"/>
      <c r="Q456" s="48"/>
      <c r="S456" s="1">
        <f t="shared" si="170"/>
        <v>0</v>
      </c>
      <c r="T456" s="1">
        <f t="shared" si="171"/>
        <v>0</v>
      </c>
      <c r="U456" s="1">
        <f t="shared" si="172"/>
        <v>0</v>
      </c>
      <c r="V456" s="1">
        <f t="shared" si="173"/>
        <v>0</v>
      </c>
      <c r="W456" s="1">
        <f t="shared" si="174"/>
        <v>0</v>
      </c>
      <c r="X456" s="1">
        <f t="shared" si="175"/>
        <v>0</v>
      </c>
      <c r="Y456" s="1">
        <f t="shared" si="176"/>
        <v>0</v>
      </c>
      <c r="Z456" s="1">
        <f t="shared" si="177"/>
        <v>0</v>
      </c>
      <c r="AA456" s="1">
        <f t="shared" si="178"/>
        <v>0</v>
      </c>
      <c r="AB456" s="1">
        <f t="shared" si="179"/>
        <v>0</v>
      </c>
      <c r="AD456" s="1">
        <f t="shared" si="180"/>
        <v>0</v>
      </c>
      <c r="AE456" s="1">
        <f t="shared" si="181"/>
        <v>0</v>
      </c>
      <c r="AF456" s="1">
        <f t="shared" si="166"/>
        <v>0</v>
      </c>
      <c r="AG456" s="1">
        <f t="shared" si="167"/>
        <v>0</v>
      </c>
      <c r="AH456" s="1">
        <f t="shared" si="168"/>
        <v>0</v>
      </c>
      <c r="AI456" s="1">
        <f t="shared" si="169"/>
        <v>1</v>
      </c>
    </row>
    <row r="457" spans="1:35" ht="14.25" customHeight="1" x14ac:dyDescent="0.25">
      <c r="A457" s="47">
        <v>0</v>
      </c>
      <c r="B457" s="47">
        <v>2</v>
      </c>
      <c r="C457" s="47">
        <v>7</v>
      </c>
      <c r="D457" s="48" t="s">
        <v>74</v>
      </c>
      <c r="E457" s="48" t="s">
        <v>157</v>
      </c>
      <c r="F457" s="48" t="s">
        <v>678</v>
      </c>
      <c r="G457" s="48" t="s">
        <v>266</v>
      </c>
      <c r="H457" s="48" t="s">
        <v>355</v>
      </c>
      <c r="I457" s="47" t="s">
        <v>423</v>
      </c>
      <c r="J457" s="47">
        <v>99</v>
      </c>
      <c r="K457" s="49" t="s">
        <v>716</v>
      </c>
      <c r="L457" s="49" t="s">
        <v>733</v>
      </c>
      <c r="M457" s="50" t="s">
        <v>736</v>
      </c>
      <c r="N457" s="50" t="s">
        <v>1742</v>
      </c>
      <c r="O457" s="51"/>
      <c r="P457" s="51"/>
      <c r="Q457" s="48"/>
      <c r="S457" s="1">
        <f t="shared" si="170"/>
        <v>0</v>
      </c>
      <c r="T457" s="1">
        <f t="shared" si="171"/>
        <v>0</v>
      </c>
      <c r="U457" s="1">
        <f t="shared" si="172"/>
        <v>0</v>
      </c>
      <c r="V457" s="1">
        <f t="shared" si="173"/>
        <v>0</v>
      </c>
      <c r="W457" s="1">
        <f t="shared" si="174"/>
        <v>0</v>
      </c>
      <c r="X457" s="1">
        <f t="shared" si="175"/>
        <v>0</v>
      </c>
      <c r="Y457" s="1">
        <f t="shared" si="176"/>
        <v>0</v>
      </c>
      <c r="Z457" s="1">
        <f t="shared" si="177"/>
        <v>0</v>
      </c>
      <c r="AA457" s="1">
        <f t="shared" si="178"/>
        <v>0</v>
      </c>
      <c r="AB457" s="1">
        <f t="shared" si="179"/>
        <v>0</v>
      </c>
      <c r="AD457" s="1">
        <f t="shared" ref="AD457:AD460" si="200">+O457*P457</f>
        <v>0</v>
      </c>
      <c r="AE457" s="1">
        <f t="shared" ref="AE457:AE460" si="201">O457*(1-P457)</f>
        <v>0</v>
      </c>
      <c r="AF457" s="1">
        <f t="shared" si="166"/>
        <v>0</v>
      </c>
      <c r="AG457" s="1">
        <f t="shared" si="167"/>
        <v>0</v>
      </c>
      <c r="AH457" s="1">
        <f t="shared" si="168"/>
        <v>0</v>
      </c>
      <c r="AI457" s="1">
        <f t="shared" si="169"/>
        <v>1</v>
      </c>
    </row>
    <row r="458" spans="1:35" ht="14.25" customHeight="1" x14ac:dyDescent="0.25">
      <c r="A458" s="15">
        <v>0</v>
      </c>
      <c r="B458" s="15">
        <v>2</v>
      </c>
      <c r="C458" s="15">
        <v>7</v>
      </c>
      <c r="D458" s="20" t="s">
        <v>1865</v>
      </c>
      <c r="E458" s="16" t="s">
        <v>157</v>
      </c>
      <c r="F458" s="20" t="s">
        <v>1866</v>
      </c>
      <c r="G458" s="20" t="s">
        <v>284</v>
      </c>
      <c r="H458" s="20" t="s">
        <v>355</v>
      </c>
      <c r="I458" s="21" t="s">
        <v>1867</v>
      </c>
      <c r="J458" s="15">
        <v>99</v>
      </c>
      <c r="K458" s="10" t="s">
        <v>707</v>
      </c>
      <c r="L458" s="10" t="s">
        <v>726</v>
      </c>
      <c r="M458" s="19" t="s">
        <v>736</v>
      </c>
      <c r="N458" s="19"/>
      <c r="Q458" s="20"/>
      <c r="S458" s="1">
        <f t="shared" si="170"/>
        <v>0</v>
      </c>
      <c r="T458" s="1">
        <f t="shared" si="171"/>
        <v>0</v>
      </c>
      <c r="U458" s="1">
        <f t="shared" si="172"/>
        <v>0</v>
      </c>
      <c r="V458" s="1">
        <f t="shared" si="173"/>
        <v>0</v>
      </c>
      <c r="W458" s="1">
        <f t="shared" si="174"/>
        <v>0</v>
      </c>
      <c r="X458" s="1">
        <f t="shared" si="175"/>
        <v>0</v>
      </c>
      <c r="Y458" s="1">
        <f t="shared" si="176"/>
        <v>0</v>
      </c>
      <c r="Z458" s="1">
        <f t="shared" si="177"/>
        <v>0</v>
      </c>
      <c r="AA458" s="1">
        <f t="shared" si="178"/>
        <v>0</v>
      </c>
      <c r="AB458" s="1">
        <f t="shared" si="179"/>
        <v>0</v>
      </c>
      <c r="AD458" s="1">
        <f t="shared" si="200"/>
        <v>0</v>
      </c>
      <c r="AE458" s="1">
        <f t="shared" si="201"/>
        <v>0</v>
      </c>
      <c r="AF458" s="1">
        <f t="shared" si="166"/>
        <v>0</v>
      </c>
      <c r="AG458" s="1">
        <f t="shared" si="167"/>
        <v>0</v>
      </c>
      <c r="AH458" s="1">
        <f t="shared" si="168"/>
        <v>0</v>
      </c>
      <c r="AI458" s="1">
        <f t="shared" si="169"/>
        <v>1</v>
      </c>
    </row>
    <row r="459" spans="1:35" ht="14.25" customHeight="1" x14ac:dyDescent="0.25">
      <c r="A459" s="34">
        <v>0</v>
      </c>
      <c r="B459" s="34">
        <v>2</v>
      </c>
      <c r="C459" s="34">
        <v>7</v>
      </c>
      <c r="D459" s="35" t="s">
        <v>60</v>
      </c>
      <c r="E459" s="35" t="s">
        <v>164</v>
      </c>
      <c r="F459" s="35" t="s">
        <v>228</v>
      </c>
      <c r="G459" s="35" t="s">
        <v>191</v>
      </c>
      <c r="H459" s="35" t="s">
        <v>355</v>
      </c>
      <c r="I459" s="34" t="s">
        <v>400</v>
      </c>
      <c r="J459" s="34">
        <v>99</v>
      </c>
      <c r="K459" s="36" t="s">
        <v>717</v>
      </c>
      <c r="L459" s="36" t="s">
        <v>726</v>
      </c>
      <c r="M459" s="37" t="s">
        <v>736</v>
      </c>
      <c r="N459" s="37" t="s">
        <v>1755</v>
      </c>
      <c r="O459" s="38">
        <v>1</v>
      </c>
      <c r="P459" s="38"/>
      <c r="Q459" s="35"/>
      <c r="S459" s="1">
        <f t="shared" si="170"/>
        <v>0</v>
      </c>
      <c r="T459" s="1">
        <f t="shared" si="171"/>
        <v>0</v>
      </c>
      <c r="U459" s="1">
        <f t="shared" si="172"/>
        <v>0</v>
      </c>
      <c r="V459" s="1">
        <f t="shared" si="173"/>
        <v>0</v>
      </c>
      <c r="W459" s="1">
        <f t="shared" si="174"/>
        <v>0</v>
      </c>
      <c r="X459" s="1">
        <f t="shared" si="175"/>
        <v>0</v>
      </c>
      <c r="Y459" s="1">
        <f t="shared" si="176"/>
        <v>0</v>
      </c>
      <c r="Z459" s="1">
        <f t="shared" si="177"/>
        <v>0</v>
      </c>
      <c r="AA459" s="1">
        <f t="shared" si="178"/>
        <v>0</v>
      </c>
      <c r="AB459" s="1">
        <f t="shared" si="179"/>
        <v>0</v>
      </c>
      <c r="AD459" s="1">
        <f t="shared" si="200"/>
        <v>0</v>
      </c>
      <c r="AE459" s="1">
        <f t="shared" si="201"/>
        <v>1</v>
      </c>
      <c r="AF459" s="1">
        <f t="shared" ref="AF459:AF476" si="202">+O459*P459*(1-A459)</f>
        <v>0</v>
      </c>
      <c r="AG459" s="1">
        <f t="shared" ref="AG459:AG476" si="203">O459*(1-P459)*(1-A459)</f>
        <v>1</v>
      </c>
      <c r="AH459" s="1">
        <f t="shared" ref="AH459:AH476" si="204">+P459*(1-A459)</f>
        <v>0</v>
      </c>
      <c r="AI459" s="1">
        <f t="shared" ref="AI459:AI476" si="205">+(1-A459)*(1-P459)</f>
        <v>1</v>
      </c>
    </row>
    <row r="460" spans="1:35" ht="14.25" customHeight="1" x14ac:dyDescent="0.25">
      <c r="A460" s="34">
        <v>0</v>
      </c>
      <c r="B460" s="34">
        <v>2</v>
      </c>
      <c r="C460" s="34">
        <v>7</v>
      </c>
      <c r="D460" s="35" t="s">
        <v>1336</v>
      </c>
      <c r="E460" s="35" t="s">
        <v>157</v>
      </c>
      <c r="F460" s="35" t="s">
        <v>1149</v>
      </c>
      <c r="G460" s="35" t="s">
        <v>193</v>
      </c>
      <c r="H460" s="35" t="s">
        <v>355</v>
      </c>
      <c r="I460" s="34" t="s">
        <v>1376</v>
      </c>
      <c r="J460" s="34">
        <v>99</v>
      </c>
      <c r="K460" s="36" t="s">
        <v>716</v>
      </c>
      <c r="L460" s="36" t="s">
        <v>39</v>
      </c>
      <c r="M460" s="37" t="s">
        <v>39</v>
      </c>
      <c r="N460" s="37" t="s">
        <v>1734</v>
      </c>
      <c r="O460" s="38">
        <v>1</v>
      </c>
      <c r="P460" s="38">
        <v>1</v>
      </c>
      <c r="Q460" s="35"/>
      <c r="S460" s="1">
        <f t="shared" si="170"/>
        <v>0</v>
      </c>
      <c r="T460" s="1">
        <f t="shared" si="171"/>
        <v>0</v>
      </c>
      <c r="U460" s="1">
        <f t="shared" si="172"/>
        <v>0</v>
      </c>
      <c r="V460" s="1">
        <f t="shared" si="173"/>
        <v>0</v>
      </c>
      <c r="W460" s="1">
        <f t="shared" si="174"/>
        <v>0</v>
      </c>
      <c r="X460" s="1">
        <f t="shared" si="175"/>
        <v>0</v>
      </c>
      <c r="Y460" s="1">
        <f t="shared" si="176"/>
        <v>0</v>
      </c>
      <c r="Z460" s="1">
        <f t="shared" si="177"/>
        <v>0</v>
      </c>
      <c r="AA460" s="1">
        <f t="shared" si="178"/>
        <v>0</v>
      </c>
      <c r="AB460" s="1">
        <f t="shared" si="179"/>
        <v>0</v>
      </c>
      <c r="AD460" s="1">
        <f t="shared" si="200"/>
        <v>1</v>
      </c>
      <c r="AE460" s="1">
        <f t="shared" si="201"/>
        <v>0</v>
      </c>
      <c r="AF460" s="1">
        <f t="shared" si="202"/>
        <v>1</v>
      </c>
      <c r="AG460" s="1">
        <f t="shared" si="203"/>
        <v>0</v>
      </c>
      <c r="AH460" s="1">
        <f t="shared" si="204"/>
        <v>1</v>
      </c>
      <c r="AI460" s="1">
        <f t="shared" si="205"/>
        <v>0</v>
      </c>
    </row>
    <row r="461" spans="1:35" ht="14.25" customHeight="1" x14ac:dyDescent="0.25">
      <c r="A461" s="34">
        <v>0</v>
      </c>
      <c r="B461" s="34">
        <v>2</v>
      </c>
      <c r="C461" s="34">
        <v>7</v>
      </c>
      <c r="D461" s="35" t="s">
        <v>591</v>
      </c>
      <c r="E461" s="35" t="s">
        <v>1344</v>
      </c>
      <c r="F461" s="35" t="s">
        <v>679</v>
      </c>
      <c r="G461" s="35" t="s">
        <v>241</v>
      </c>
      <c r="H461" s="35" t="s">
        <v>355</v>
      </c>
      <c r="I461" s="34" t="s">
        <v>406</v>
      </c>
      <c r="J461" s="34">
        <v>1</v>
      </c>
      <c r="K461" s="36" t="s">
        <v>717</v>
      </c>
      <c r="L461" s="36" t="s">
        <v>1718</v>
      </c>
      <c r="M461" s="37" t="s">
        <v>1446</v>
      </c>
      <c r="N461" s="37" t="s">
        <v>1755</v>
      </c>
      <c r="O461" s="38">
        <v>1</v>
      </c>
      <c r="P461" s="38"/>
      <c r="Q461" s="35"/>
      <c r="S461" s="1">
        <f t="shared" si="170"/>
        <v>1</v>
      </c>
      <c r="T461" s="1">
        <f t="shared" si="171"/>
        <v>0</v>
      </c>
      <c r="U461" s="1">
        <f t="shared" si="172"/>
        <v>0</v>
      </c>
      <c r="V461" s="1">
        <f t="shared" si="173"/>
        <v>0</v>
      </c>
      <c r="W461" s="1">
        <f t="shared" si="174"/>
        <v>0</v>
      </c>
      <c r="X461" s="1">
        <f t="shared" si="175"/>
        <v>0</v>
      </c>
      <c r="Y461" s="1">
        <f t="shared" si="176"/>
        <v>0</v>
      </c>
      <c r="Z461" s="1">
        <f t="shared" si="177"/>
        <v>0</v>
      </c>
      <c r="AA461" s="1">
        <f t="shared" si="178"/>
        <v>0</v>
      </c>
      <c r="AB461" s="1">
        <f t="shared" si="179"/>
        <v>0</v>
      </c>
      <c r="AD461" s="1">
        <f t="shared" ref="AD461" si="206">+O461*P461</f>
        <v>0</v>
      </c>
      <c r="AE461" s="1">
        <f t="shared" ref="AE461" si="207">O461*(1-P461)</f>
        <v>1</v>
      </c>
      <c r="AF461" s="1">
        <f t="shared" si="202"/>
        <v>0</v>
      </c>
      <c r="AG461" s="1">
        <f t="shared" si="203"/>
        <v>1</v>
      </c>
      <c r="AH461" s="1">
        <f t="shared" si="204"/>
        <v>0</v>
      </c>
      <c r="AI461" s="1">
        <f t="shared" si="205"/>
        <v>1</v>
      </c>
    </row>
    <row r="462" spans="1:35" ht="14.25" customHeight="1" x14ac:dyDescent="0.25">
      <c r="A462" s="34">
        <v>1</v>
      </c>
      <c r="B462" s="34">
        <v>2</v>
      </c>
      <c r="C462" s="34">
        <v>7</v>
      </c>
      <c r="D462" s="35" t="s">
        <v>591</v>
      </c>
      <c r="E462" s="35" t="s">
        <v>1344</v>
      </c>
      <c r="F462" s="35" t="s">
        <v>240</v>
      </c>
      <c r="G462" s="35" t="s">
        <v>179</v>
      </c>
      <c r="H462" s="35" t="s">
        <v>355</v>
      </c>
      <c r="I462" s="34" t="s">
        <v>405</v>
      </c>
      <c r="J462" s="34">
        <v>1</v>
      </c>
      <c r="K462" s="36" t="s">
        <v>717</v>
      </c>
      <c r="L462" s="36" t="s">
        <v>1718</v>
      </c>
      <c r="M462" s="37" t="s">
        <v>1446</v>
      </c>
      <c r="N462" s="37" t="s">
        <v>1755</v>
      </c>
      <c r="O462" s="38">
        <v>1</v>
      </c>
      <c r="P462" s="38"/>
      <c r="Q462" s="39" t="s">
        <v>1918</v>
      </c>
      <c r="S462" s="1">
        <f t="shared" si="170"/>
        <v>1</v>
      </c>
      <c r="T462" s="1">
        <f t="shared" si="171"/>
        <v>0</v>
      </c>
      <c r="U462" s="1">
        <f t="shared" si="172"/>
        <v>0</v>
      </c>
      <c r="V462" s="1">
        <f t="shared" si="173"/>
        <v>0</v>
      </c>
      <c r="W462" s="1">
        <f t="shared" si="174"/>
        <v>0</v>
      </c>
      <c r="X462" s="1">
        <f t="shared" si="175"/>
        <v>0</v>
      </c>
      <c r="Y462" s="1">
        <f t="shared" si="176"/>
        <v>0</v>
      </c>
      <c r="Z462" s="1">
        <f t="shared" si="177"/>
        <v>0</v>
      </c>
      <c r="AA462" s="1">
        <f t="shared" si="178"/>
        <v>0</v>
      </c>
      <c r="AB462" s="1">
        <f t="shared" si="179"/>
        <v>0</v>
      </c>
      <c r="AD462" s="1">
        <f t="shared" si="180"/>
        <v>0</v>
      </c>
      <c r="AE462" s="1">
        <f t="shared" si="181"/>
        <v>1</v>
      </c>
      <c r="AF462" s="1">
        <f t="shared" si="202"/>
        <v>0</v>
      </c>
      <c r="AG462" s="1">
        <f t="shared" si="203"/>
        <v>0</v>
      </c>
      <c r="AH462" s="1">
        <f t="shared" si="204"/>
        <v>0</v>
      </c>
      <c r="AI462" s="1">
        <f t="shared" si="205"/>
        <v>0</v>
      </c>
    </row>
    <row r="463" spans="1:35" ht="14.25" customHeight="1" x14ac:dyDescent="0.25">
      <c r="A463" s="34">
        <v>0</v>
      </c>
      <c r="B463" s="34">
        <v>2</v>
      </c>
      <c r="C463" s="34">
        <v>7</v>
      </c>
      <c r="D463" s="35" t="s">
        <v>1337</v>
      </c>
      <c r="E463" s="35" t="s">
        <v>157</v>
      </c>
      <c r="F463" s="35" t="s">
        <v>1363</v>
      </c>
      <c r="G463" s="35" t="s">
        <v>259</v>
      </c>
      <c r="H463" s="35" t="s">
        <v>355</v>
      </c>
      <c r="I463" s="34" t="s">
        <v>1246</v>
      </c>
      <c r="J463" s="34">
        <v>8</v>
      </c>
      <c r="K463" s="36" t="s">
        <v>959</v>
      </c>
      <c r="L463" s="36" t="s">
        <v>726</v>
      </c>
      <c r="M463" s="37" t="s">
        <v>736</v>
      </c>
      <c r="N463" s="37" t="s">
        <v>1755</v>
      </c>
      <c r="O463" s="38">
        <v>1</v>
      </c>
      <c r="P463" s="38"/>
      <c r="Q463" s="35"/>
      <c r="S463" s="1">
        <f t="shared" si="170"/>
        <v>0</v>
      </c>
      <c r="T463" s="1">
        <f t="shared" si="171"/>
        <v>0</v>
      </c>
      <c r="U463" s="1">
        <f t="shared" si="172"/>
        <v>0</v>
      </c>
      <c r="V463" s="1">
        <f t="shared" si="173"/>
        <v>0</v>
      </c>
      <c r="W463" s="1">
        <f t="shared" si="174"/>
        <v>0</v>
      </c>
      <c r="X463" s="1">
        <f t="shared" si="175"/>
        <v>0</v>
      </c>
      <c r="Y463" s="1">
        <f t="shared" si="176"/>
        <v>0</v>
      </c>
      <c r="Z463" s="1">
        <f t="shared" si="177"/>
        <v>1</v>
      </c>
      <c r="AA463" s="1">
        <f t="shared" si="178"/>
        <v>0</v>
      </c>
      <c r="AB463" s="1">
        <f t="shared" si="179"/>
        <v>0</v>
      </c>
      <c r="AD463" s="1">
        <f t="shared" si="180"/>
        <v>0</v>
      </c>
      <c r="AE463" s="1">
        <f t="shared" si="181"/>
        <v>1</v>
      </c>
      <c r="AF463" s="1">
        <f t="shared" si="202"/>
        <v>0</v>
      </c>
      <c r="AG463" s="1">
        <f t="shared" si="203"/>
        <v>1</v>
      </c>
      <c r="AH463" s="1">
        <f t="shared" si="204"/>
        <v>0</v>
      </c>
      <c r="AI463" s="1">
        <f t="shared" si="205"/>
        <v>1</v>
      </c>
    </row>
    <row r="464" spans="1:35" ht="14.25" customHeight="1" x14ac:dyDescent="0.25">
      <c r="A464" s="34">
        <v>1</v>
      </c>
      <c r="B464" s="34">
        <v>2</v>
      </c>
      <c r="C464" s="34">
        <v>7</v>
      </c>
      <c r="D464" s="35" t="s">
        <v>1337</v>
      </c>
      <c r="E464" s="35" t="s">
        <v>157</v>
      </c>
      <c r="F464" s="35" t="s">
        <v>1225</v>
      </c>
      <c r="G464" s="35" t="s">
        <v>219</v>
      </c>
      <c r="H464" s="35" t="s">
        <v>355</v>
      </c>
      <c r="I464" s="34" t="s">
        <v>1246</v>
      </c>
      <c r="J464" s="34">
        <v>99</v>
      </c>
      <c r="K464" s="36" t="s">
        <v>959</v>
      </c>
      <c r="L464" s="36" t="s">
        <v>726</v>
      </c>
      <c r="M464" s="37" t="s">
        <v>736</v>
      </c>
      <c r="N464" s="37" t="s">
        <v>1755</v>
      </c>
      <c r="O464" s="38">
        <v>1</v>
      </c>
      <c r="P464" s="38"/>
      <c r="Q464" s="35"/>
      <c r="S464" s="1">
        <f t="shared" si="170"/>
        <v>0</v>
      </c>
      <c r="T464" s="1">
        <f t="shared" si="171"/>
        <v>0</v>
      </c>
      <c r="U464" s="1">
        <f t="shared" si="172"/>
        <v>0</v>
      </c>
      <c r="V464" s="1">
        <f t="shared" si="173"/>
        <v>0</v>
      </c>
      <c r="W464" s="1">
        <f t="shared" si="174"/>
        <v>0</v>
      </c>
      <c r="X464" s="1">
        <f t="shared" si="175"/>
        <v>0</v>
      </c>
      <c r="Y464" s="1">
        <f t="shared" si="176"/>
        <v>0</v>
      </c>
      <c r="Z464" s="1">
        <f t="shared" si="177"/>
        <v>0</v>
      </c>
      <c r="AA464" s="1">
        <f t="shared" si="178"/>
        <v>0</v>
      </c>
      <c r="AB464" s="1">
        <f t="shared" si="179"/>
        <v>0</v>
      </c>
      <c r="AD464" s="1">
        <f t="shared" si="180"/>
        <v>0</v>
      </c>
      <c r="AE464" s="1">
        <f t="shared" si="181"/>
        <v>1</v>
      </c>
      <c r="AF464" s="1">
        <f t="shared" si="202"/>
        <v>0</v>
      </c>
      <c r="AG464" s="1">
        <f t="shared" si="203"/>
        <v>0</v>
      </c>
      <c r="AH464" s="1">
        <f t="shared" si="204"/>
        <v>0</v>
      </c>
      <c r="AI464" s="1">
        <f t="shared" si="205"/>
        <v>0</v>
      </c>
    </row>
    <row r="465" spans="1:35" ht="14.25" customHeight="1" x14ac:dyDescent="0.25">
      <c r="A465" s="47">
        <v>0</v>
      </c>
      <c r="B465" s="47">
        <v>2</v>
      </c>
      <c r="C465" s="47">
        <v>7</v>
      </c>
      <c r="D465" s="48" t="s">
        <v>1255</v>
      </c>
      <c r="E465" s="48" t="s">
        <v>157</v>
      </c>
      <c r="F465" s="48" t="s">
        <v>1257</v>
      </c>
      <c r="G465" s="48" t="s">
        <v>221</v>
      </c>
      <c r="H465" s="48" t="s">
        <v>355</v>
      </c>
      <c r="I465" s="47" t="s">
        <v>1377</v>
      </c>
      <c r="J465" s="47">
        <v>8</v>
      </c>
      <c r="K465" s="49" t="s">
        <v>958</v>
      </c>
      <c r="L465" s="49" t="s">
        <v>726</v>
      </c>
      <c r="M465" s="50" t="s">
        <v>736</v>
      </c>
      <c r="N465" s="50" t="s">
        <v>1742</v>
      </c>
      <c r="O465" s="51"/>
      <c r="P465" s="51"/>
      <c r="Q465" s="48"/>
      <c r="S465" s="1">
        <f t="shared" si="170"/>
        <v>0</v>
      </c>
      <c r="T465" s="1">
        <f t="shared" si="171"/>
        <v>0</v>
      </c>
      <c r="U465" s="1">
        <f t="shared" si="172"/>
        <v>0</v>
      </c>
      <c r="V465" s="1">
        <f t="shared" si="173"/>
        <v>0</v>
      </c>
      <c r="W465" s="1">
        <f t="shared" si="174"/>
        <v>0</v>
      </c>
      <c r="X465" s="1">
        <f t="shared" si="175"/>
        <v>0</v>
      </c>
      <c r="Y465" s="1">
        <f t="shared" si="176"/>
        <v>0</v>
      </c>
      <c r="Z465" s="1">
        <f t="shared" si="177"/>
        <v>1</v>
      </c>
      <c r="AA465" s="1">
        <f t="shared" si="178"/>
        <v>0</v>
      </c>
      <c r="AB465" s="1">
        <f t="shared" si="179"/>
        <v>0</v>
      </c>
      <c r="AD465" s="1">
        <f t="shared" si="180"/>
        <v>0</v>
      </c>
      <c r="AE465" s="1">
        <f t="shared" si="181"/>
        <v>0</v>
      </c>
      <c r="AF465" s="1">
        <f t="shared" si="202"/>
        <v>0</v>
      </c>
      <c r="AG465" s="1">
        <f t="shared" si="203"/>
        <v>0</v>
      </c>
      <c r="AH465" s="1">
        <f t="shared" si="204"/>
        <v>0</v>
      </c>
      <c r="AI465" s="1">
        <f t="shared" si="205"/>
        <v>1</v>
      </c>
    </row>
    <row r="466" spans="1:35" ht="14.25" customHeight="1" x14ac:dyDescent="0.25">
      <c r="A466" s="47">
        <v>1</v>
      </c>
      <c r="B466" s="47">
        <v>2</v>
      </c>
      <c r="C466" s="47">
        <v>7</v>
      </c>
      <c r="D466" s="48" t="s">
        <v>1255</v>
      </c>
      <c r="E466" s="48" t="s">
        <v>157</v>
      </c>
      <c r="F466" s="48" t="s">
        <v>1364</v>
      </c>
      <c r="G466" s="48" t="s">
        <v>39</v>
      </c>
      <c r="H466" s="48" t="s">
        <v>356</v>
      </c>
      <c r="I466" s="47" t="s">
        <v>1256</v>
      </c>
      <c r="J466" s="47">
        <v>99</v>
      </c>
      <c r="K466" s="49" t="s">
        <v>958</v>
      </c>
      <c r="L466" s="49" t="s">
        <v>726</v>
      </c>
      <c r="M466" s="50" t="s">
        <v>736</v>
      </c>
      <c r="N466" s="50" t="s">
        <v>1742</v>
      </c>
      <c r="O466" s="51"/>
      <c r="P466" s="51"/>
      <c r="Q466" s="68" t="s">
        <v>1911</v>
      </c>
      <c r="S466" s="1">
        <f t="shared" ref="S466:S476" si="208">IF(J466=$S$7,1,0)</f>
        <v>0</v>
      </c>
      <c r="T466" s="1">
        <f t="shared" ref="T466:T476" si="209">IF(J466=$T$7,1,0)</f>
        <v>0</v>
      </c>
      <c r="U466" s="1">
        <f t="shared" ref="U466:U476" si="210">IF(J466=$U$7,1,0)</f>
        <v>0</v>
      </c>
      <c r="V466" s="1">
        <f t="shared" ref="V466:V476" si="211">IF(J466=$V$7,1,0)</f>
        <v>0</v>
      </c>
      <c r="W466" s="1">
        <f t="shared" ref="W466:W476" si="212">IF(J466=$W$7,1,0)</f>
        <v>0</v>
      </c>
      <c r="X466" s="1">
        <f t="shared" ref="X466:X476" si="213">IF(J466=$X$7,1,0)</f>
        <v>0</v>
      </c>
      <c r="Y466" s="1">
        <f t="shared" ref="Y466:Y476" si="214">IF(J466=$Y$7,1,0)</f>
        <v>0</v>
      </c>
      <c r="Z466" s="1">
        <f t="shared" ref="Z466:Z476" si="215">IF(J466=$Z$7,1,0)</f>
        <v>0</v>
      </c>
      <c r="AA466" s="1">
        <f t="shared" ref="AA466:AA476" si="216">IF(J466=$AA$7,1,0)</f>
        <v>0</v>
      </c>
      <c r="AB466" s="1">
        <f t="shared" ref="AB466:AB476" si="217">IF(J466=$AB$7,1,0)</f>
        <v>0</v>
      </c>
      <c r="AD466" s="1">
        <f>+O466*P466</f>
        <v>0</v>
      </c>
      <c r="AE466" s="1">
        <f>O466*(1-P466)</f>
        <v>0</v>
      </c>
      <c r="AF466" s="1">
        <f t="shared" si="202"/>
        <v>0</v>
      </c>
      <c r="AG466" s="1">
        <f t="shared" si="203"/>
        <v>0</v>
      </c>
      <c r="AH466" s="1">
        <f t="shared" si="204"/>
        <v>0</v>
      </c>
      <c r="AI466" s="1">
        <f t="shared" si="205"/>
        <v>0</v>
      </c>
    </row>
    <row r="467" spans="1:35" ht="14.25" customHeight="1" x14ac:dyDescent="0.25">
      <c r="A467" s="47">
        <v>1</v>
      </c>
      <c r="B467" s="47">
        <v>2</v>
      </c>
      <c r="C467" s="47">
        <v>7</v>
      </c>
      <c r="D467" s="48" t="s">
        <v>1255</v>
      </c>
      <c r="E467" s="48" t="s">
        <v>157</v>
      </c>
      <c r="F467" s="48" t="s">
        <v>1530</v>
      </c>
      <c r="G467" s="48" t="s">
        <v>236</v>
      </c>
      <c r="H467" s="48" t="s">
        <v>355</v>
      </c>
      <c r="I467" s="47" t="s">
        <v>1698</v>
      </c>
      <c r="J467" s="47">
        <v>99</v>
      </c>
      <c r="K467" s="49" t="s">
        <v>958</v>
      </c>
      <c r="L467" s="49" t="s">
        <v>726</v>
      </c>
      <c r="M467" s="50" t="s">
        <v>736</v>
      </c>
      <c r="N467" s="50" t="s">
        <v>1742</v>
      </c>
      <c r="O467" s="51"/>
      <c r="P467" s="51"/>
      <c r="Q467" s="48"/>
      <c r="S467" s="1">
        <f t="shared" si="208"/>
        <v>0</v>
      </c>
      <c r="T467" s="1">
        <f t="shared" si="209"/>
        <v>0</v>
      </c>
      <c r="U467" s="1">
        <f t="shared" si="210"/>
        <v>0</v>
      </c>
      <c r="V467" s="1">
        <f t="shared" si="211"/>
        <v>0</v>
      </c>
      <c r="W467" s="1">
        <f t="shared" si="212"/>
        <v>0</v>
      </c>
      <c r="X467" s="1">
        <f t="shared" si="213"/>
        <v>0</v>
      </c>
      <c r="Y467" s="1">
        <f t="shared" si="214"/>
        <v>0</v>
      </c>
      <c r="Z467" s="1">
        <f t="shared" si="215"/>
        <v>0</v>
      </c>
      <c r="AA467" s="1">
        <f t="shared" si="216"/>
        <v>0</v>
      </c>
      <c r="AB467" s="1">
        <f t="shared" si="217"/>
        <v>0</v>
      </c>
      <c r="AD467" s="1">
        <f>+O467*P467</f>
        <v>0</v>
      </c>
      <c r="AE467" s="1">
        <f>O467*(1-P467)</f>
        <v>0</v>
      </c>
      <c r="AF467" s="1">
        <f t="shared" si="202"/>
        <v>0</v>
      </c>
      <c r="AG467" s="1">
        <f t="shared" si="203"/>
        <v>0</v>
      </c>
      <c r="AH467" s="1">
        <f t="shared" si="204"/>
        <v>0</v>
      </c>
      <c r="AI467" s="1">
        <f t="shared" si="205"/>
        <v>0</v>
      </c>
    </row>
    <row r="468" spans="1:35" ht="14.25" customHeight="1" x14ac:dyDescent="0.25">
      <c r="A468" s="34">
        <v>0</v>
      </c>
      <c r="B468" s="34">
        <v>2</v>
      </c>
      <c r="C468" s="34">
        <v>7</v>
      </c>
      <c r="D468" s="35" t="s">
        <v>1857</v>
      </c>
      <c r="E468" s="35" t="s">
        <v>1858</v>
      </c>
      <c r="F468" s="35" t="s">
        <v>1859</v>
      </c>
      <c r="G468" s="35" t="s">
        <v>266</v>
      </c>
      <c r="H468" s="35" t="s">
        <v>355</v>
      </c>
      <c r="I468" s="34" t="s">
        <v>1860</v>
      </c>
      <c r="J468" s="34">
        <v>99</v>
      </c>
      <c r="K468" s="36" t="s">
        <v>707</v>
      </c>
      <c r="L468" s="36"/>
      <c r="M468" s="37"/>
      <c r="N468" s="37" t="s">
        <v>1734</v>
      </c>
      <c r="O468" s="38">
        <v>1</v>
      </c>
      <c r="P468" s="38">
        <v>1</v>
      </c>
      <c r="Q468" s="35"/>
      <c r="S468" s="1">
        <f t="shared" si="208"/>
        <v>0</v>
      </c>
      <c r="T468" s="1">
        <f t="shared" si="209"/>
        <v>0</v>
      </c>
      <c r="U468" s="1">
        <f t="shared" si="210"/>
        <v>0</v>
      </c>
      <c r="V468" s="1">
        <f t="shared" si="211"/>
        <v>0</v>
      </c>
      <c r="W468" s="1">
        <f t="shared" si="212"/>
        <v>0</v>
      </c>
      <c r="X468" s="1">
        <f t="shared" si="213"/>
        <v>0</v>
      </c>
      <c r="Y468" s="1">
        <f t="shared" si="214"/>
        <v>0</v>
      </c>
      <c r="Z468" s="1">
        <f t="shared" si="215"/>
        <v>0</v>
      </c>
      <c r="AA468" s="1">
        <f t="shared" si="216"/>
        <v>0</v>
      </c>
      <c r="AB468" s="1">
        <f t="shared" si="217"/>
        <v>0</v>
      </c>
      <c r="AD468" s="1">
        <f>+O468*P468</f>
        <v>1</v>
      </c>
      <c r="AE468" s="1">
        <f>O468*(1-P468)</f>
        <v>0</v>
      </c>
      <c r="AF468" s="1">
        <f t="shared" si="202"/>
        <v>1</v>
      </c>
      <c r="AG468" s="1">
        <f t="shared" si="203"/>
        <v>0</v>
      </c>
      <c r="AH468" s="1">
        <f t="shared" si="204"/>
        <v>1</v>
      </c>
      <c r="AI468" s="1">
        <f t="shared" si="205"/>
        <v>0</v>
      </c>
    </row>
    <row r="469" spans="1:35" ht="14.25" customHeight="1" x14ac:dyDescent="0.25">
      <c r="A469" s="47">
        <v>0</v>
      </c>
      <c r="B469" s="47">
        <v>2</v>
      </c>
      <c r="C469" s="47">
        <v>7</v>
      </c>
      <c r="D469" s="48" t="s">
        <v>1250</v>
      </c>
      <c r="E469" s="48" t="s">
        <v>28</v>
      </c>
      <c r="F469" s="48" t="s">
        <v>1243</v>
      </c>
      <c r="G469" s="48" t="s">
        <v>1244</v>
      </c>
      <c r="H469" s="48" t="s">
        <v>355</v>
      </c>
      <c r="I469" s="47" t="s">
        <v>1245</v>
      </c>
      <c r="J469" s="47">
        <v>99</v>
      </c>
      <c r="K469" s="49" t="s">
        <v>716</v>
      </c>
      <c r="L469" s="49" t="s">
        <v>717</v>
      </c>
      <c r="M469" s="50" t="s">
        <v>735</v>
      </c>
      <c r="N469" s="50" t="s">
        <v>1742</v>
      </c>
      <c r="O469" s="51"/>
      <c r="P469" s="51"/>
      <c r="Q469" s="48"/>
      <c r="S469" s="1">
        <f t="shared" si="208"/>
        <v>0</v>
      </c>
      <c r="T469" s="1">
        <f t="shared" si="209"/>
        <v>0</v>
      </c>
      <c r="U469" s="1">
        <f t="shared" si="210"/>
        <v>0</v>
      </c>
      <c r="V469" s="1">
        <f t="shared" si="211"/>
        <v>0</v>
      </c>
      <c r="W469" s="1">
        <f t="shared" si="212"/>
        <v>0</v>
      </c>
      <c r="X469" s="1">
        <f t="shared" si="213"/>
        <v>0</v>
      </c>
      <c r="Y469" s="1">
        <f t="shared" si="214"/>
        <v>0</v>
      </c>
      <c r="Z469" s="1">
        <f t="shared" si="215"/>
        <v>0</v>
      </c>
      <c r="AA469" s="1">
        <f t="shared" si="216"/>
        <v>0</v>
      </c>
      <c r="AB469" s="1">
        <f t="shared" si="217"/>
        <v>0</v>
      </c>
      <c r="AD469" s="1">
        <f t="shared" ref="AD469:AD476" si="218">+O469*P469</f>
        <v>0</v>
      </c>
      <c r="AE469" s="1">
        <f t="shared" ref="AE469:AE476" si="219">O469*(1-P469)</f>
        <v>0</v>
      </c>
      <c r="AF469" s="1">
        <f t="shared" si="202"/>
        <v>0</v>
      </c>
      <c r="AG469" s="1">
        <f t="shared" si="203"/>
        <v>0</v>
      </c>
      <c r="AH469" s="1">
        <f t="shared" si="204"/>
        <v>0</v>
      </c>
      <c r="AI469" s="1">
        <f t="shared" si="205"/>
        <v>1</v>
      </c>
    </row>
    <row r="470" spans="1:35" ht="14.25" customHeight="1" x14ac:dyDescent="0.25">
      <c r="A470" s="47">
        <v>1</v>
      </c>
      <c r="B470" s="47">
        <v>2</v>
      </c>
      <c r="C470" s="47">
        <v>7</v>
      </c>
      <c r="D470" s="48" t="s">
        <v>1247</v>
      </c>
      <c r="E470" s="48" t="s">
        <v>28</v>
      </c>
      <c r="F470" s="48" t="s">
        <v>1248</v>
      </c>
      <c r="G470" s="48" t="s">
        <v>525</v>
      </c>
      <c r="H470" s="48" t="s">
        <v>355</v>
      </c>
      <c r="I470" s="47" t="s">
        <v>1249</v>
      </c>
      <c r="J470" s="47">
        <v>99</v>
      </c>
      <c r="K470" s="49" t="s">
        <v>716</v>
      </c>
      <c r="L470" s="49" t="s">
        <v>717</v>
      </c>
      <c r="M470" s="50" t="s">
        <v>735</v>
      </c>
      <c r="N470" s="50" t="s">
        <v>1742</v>
      </c>
      <c r="O470" s="51"/>
      <c r="P470" s="51"/>
      <c r="Q470" s="48"/>
      <c r="S470" s="1">
        <f t="shared" si="208"/>
        <v>0</v>
      </c>
      <c r="T470" s="1">
        <f t="shared" si="209"/>
        <v>0</v>
      </c>
      <c r="U470" s="1">
        <f t="shared" si="210"/>
        <v>0</v>
      </c>
      <c r="V470" s="1">
        <f t="shared" si="211"/>
        <v>0</v>
      </c>
      <c r="W470" s="1">
        <f t="shared" si="212"/>
        <v>0</v>
      </c>
      <c r="X470" s="1">
        <f t="shared" si="213"/>
        <v>0</v>
      </c>
      <c r="Y470" s="1">
        <f t="shared" si="214"/>
        <v>0</v>
      </c>
      <c r="Z470" s="1">
        <f t="shared" si="215"/>
        <v>0</v>
      </c>
      <c r="AA470" s="1">
        <f t="shared" si="216"/>
        <v>0</v>
      </c>
      <c r="AB470" s="1">
        <f t="shared" si="217"/>
        <v>0</v>
      </c>
      <c r="AD470" s="1">
        <f t="shared" si="218"/>
        <v>0</v>
      </c>
      <c r="AE470" s="1">
        <f t="shared" si="219"/>
        <v>0</v>
      </c>
      <c r="AF470" s="1">
        <f t="shared" si="202"/>
        <v>0</v>
      </c>
      <c r="AG470" s="1">
        <f t="shared" si="203"/>
        <v>0</v>
      </c>
      <c r="AH470" s="1">
        <f t="shared" si="204"/>
        <v>0</v>
      </c>
      <c r="AI470" s="1">
        <f t="shared" si="205"/>
        <v>0</v>
      </c>
    </row>
    <row r="471" spans="1:35" ht="14.25" customHeight="1" x14ac:dyDescent="0.25">
      <c r="A471" s="34">
        <v>0</v>
      </c>
      <c r="B471" s="34">
        <v>2</v>
      </c>
      <c r="C471" s="34">
        <v>7</v>
      </c>
      <c r="D471" s="35" t="s">
        <v>1853</v>
      </c>
      <c r="E471" s="35" t="s">
        <v>1175</v>
      </c>
      <c r="F471" s="35" t="s">
        <v>1854</v>
      </c>
      <c r="G471" s="35"/>
      <c r="H471" s="35" t="s">
        <v>355</v>
      </c>
      <c r="I471" s="34" t="s">
        <v>1855</v>
      </c>
      <c r="J471" s="34">
        <v>6</v>
      </c>
      <c r="K471" s="36" t="s">
        <v>707</v>
      </c>
      <c r="L471" s="36"/>
      <c r="M471" s="37"/>
      <c r="N471" s="37" t="s">
        <v>1755</v>
      </c>
      <c r="O471" s="38">
        <v>1</v>
      </c>
      <c r="P471" s="38"/>
      <c r="Q471" s="35"/>
      <c r="S471" s="1">
        <f t="shared" si="208"/>
        <v>0</v>
      </c>
      <c r="T471" s="1">
        <f t="shared" si="209"/>
        <v>0</v>
      </c>
      <c r="U471" s="1">
        <f t="shared" si="210"/>
        <v>0</v>
      </c>
      <c r="V471" s="1">
        <f t="shared" si="211"/>
        <v>0</v>
      </c>
      <c r="W471" s="1">
        <f t="shared" si="212"/>
        <v>0</v>
      </c>
      <c r="X471" s="1">
        <f t="shared" si="213"/>
        <v>1</v>
      </c>
      <c r="Y471" s="1">
        <f t="shared" si="214"/>
        <v>0</v>
      </c>
      <c r="Z471" s="1">
        <f t="shared" si="215"/>
        <v>0</v>
      </c>
      <c r="AA471" s="1">
        <f t="shared" si="216"/>
        <v>0</v>
      </c>
      <c r="AB471" s="1">
        <f t="shared" si="217"/>
        <v>0</v>
      </c>
      <c r="AD471" s="1">
        <f t="shared" si="218"/>
        <v>0</v>
      </c>
      <c r="AE471" s="1">
        <f t="shared" si="219"/>
        <v>1</v>
      </c>
      <c r="AF471" s="1">
        <f t="shared" si="202"/>
        <v>0</v>
      </c>
      <c r="AG471" s="1">
        <f t="shared" si="203"/>
        <v>1</v>
      </c>
      <c r="AH471" s="1">
        <f t="shared" si="204"/>
        <v>0</v>
      </c>
      <c r="AI471" s="1">
        <f t="shared" si="205"/>
        <v>1</v>
      </c>
    </row>
    <row r="472" spans="1:35" ht="14.25" customHeight="1" x14ac:dyDescent="0.25">
      <c r="A472" s="47">
        <v>0</v>
      </c>
      <c r="B472" s="47">
        <v>2</v>
      </c>
      <c r="C472" s="47">
        <v>7</v>
      </c>
      <c r="D472" s="48" t="s">
        <v>1465</v>
      </c>
      <c r="E472" s="48" t="s">
        <v>28</v>
      </c>
      <c r="F472" s="48" t="s">
        <v>1466</v>
      </c>
      <c r="G472" s="48" t="s">
        <v>1467</v>
      </c>
      <c r="H472" s="48" t="s">
        <v>355</v>
      </c>
      <c r="I472" s="47" t="s">
        <v>1468</v>
      </c>
      <c r="J472" s="47">
        <v>99</v>
      </c>
      <c r="K472" s="49" t="s">
        <v>716</v>
      </c>
      <c r="L472" s="49" t="s">
        <v>717</v>
      </c>
      <c r="M472" s="50" t="s">
        <v>735</v>
      </c>
      <c r="N472" s="50" t="s">
        <v>1742</v>
      </c>
      <c r="O472" s="51"/>
      <c r="P472" s="51"/>
      <c r="Q472" s="48" t="s">
        <v>1938</v>
      </c>
      <c r="S472" s="1">
        <f t="shared" si="208"/>
        <v>0</v>
      </c>
      <c r="T472" s="1">
        <f t="shared" si="209"/>
        <v>0</v>
      </c>
      <c r="U472" s="1">
        <f t="shared" si="210"/>
        <v>0</v>
      </c>
      <c r="V472" s="1">
        <f t="shared" si="211"/>
        <v>0</v>
      </c>
      <c r="W472" s="1">
        <f t="shared" si="212"/>
        <v>0</v>
      </c>
      <c r="X472" s="1">
        <f t="shared" si="213"/>
        <v>0</v>
      </c>
      <c r="Y472" s="1">
        <f t="shared" si="214"/>
        <v>0</v>
      </c>
      <c r="Z472" s="1">
        <f t="shared" si="215"/>
        <v>0</v>
      </c>
      <c r="AA472" s="1">
        <f t="shared" si="216"/>
        <v>0</v>
      </c>
      <c r="AB472" s="1">
        <f t="shared" si="217"/>
        <v>0</v>
      </c>
      <c r="AD472" s="1">
        <f t="shared" si="218"/>
        <v>0</v>
      </c>
      <c r="AE472" s="1">
        <f t="shared" si="219"/>
        <v>0</v>
      </c>
      <c r="AF472" s="1">
        <f t="shared" si="202"/>
        <v>0</v>
      </c>
      <c r="AG472" s="1">
        <f t="shared" si="203"/>
        <v>0</v>
      </c>
      <c r="AH472" s="1">
        <f t="shared" si="204"/>
        <v>0</v>
      </c>
      <c r="AI472" s="1">
        <f t="shared" si="205"/>
        <v>1</v>
      </c>
    </row>
    <row r="473" spans="1:35" ht="14.25" customHeight="1" x14ac:dyDescent="0.25">
      <c r="A473" s="34">
        <v>0</v>
      </c>
      <c r="B473" s="34">
        <v>2</v>
      </c>
      <c r="C473" s="34">
        <v>7</v>
      </c>
      <c r="D473" s="35" t="s">
        <v>43</v>
      </c>
      <c r="E473" s="35" t="s">
        <v>543</v>
      </c>
      <c r="F473" s="35" t="s">
        <v>577</v>
      </c>
      <c r="G473" s="35" t="s">
        <v>236</v>
      </c>
      <c r="H473" s="35" t="s">
        <v>355</v>
      </c>
      <c r="I473" s="34" t="s">
        <v>584</v>
      </c>
      <c r="J473" s="34">
        <v>99</v>
      </c>
      <c r="K473" s="36" t="s">
        <v>716</v>
      </c>
      <c r="L473" s="36" t="s">
        <v>733</v>
      </c>
      <c r="M473" s="37" t="s">
        <v>1447</v>
      </c>
      <c r="N473" s="37" t="s">
        <v>1755</v>
      </c>
      <c r="O473" s="38">
        <v>1</v>
      </c>
      <c r="P473" s="38"/>
      <c r="Q473" s="35"/>
      <c r="S473" s="1">
        <f t="shared" si="208"/>
        <v>0</v>
      </c>
      <c r="T473" s="1">
        <f t="shared" si="209"/>
        <v>0</v>
      </c>
      <c r="U473" s="1">
        <f t="shared" si="210"/>
        <v>0</v>
      </c>
      <c r="V473" s="1">
        <f t="shared" si="211"/>
        <v>0</v>
      </c>
      <c r="W473" s="1">
        <f t="shared" si="212"/>
        <v>0</v>
      </c>
      <c r="X473" s="1">
        <f t="shared" si="213"/>
        <v>0</v>
      </c>
      <c r="Y473" s="1">
        <f t="shared" si="214"/>
        <v>0</v>
      </c>
      <c r="Z473" s="1">
        <f t="shared" si="215"/>
        <v>0</v>
      </c>
      <c r="AA473" s="1">
        <f t="shared" si="216"/>
        <v>0</v>
      </c>
      <c r="AB473" s="1">
        <f t="shared" si="217"/>
        <v>0</v>
      </c>
      <c r="AD473" s="1">
        <f t="shared" si="218"/>
        <v>0</v>
      </c>
      <c r="AE473" s="1">
        <f t="shared" si="219"/>
        <v>1</v>
      </c>
      <c r="AF473" s="1">
        <f t="shared" si="202"/>
        <v>0</v>
      </c>
      <c r="AG473" s="1">
        <f t="shared" si="203"/>
        <v>1</v>
      </c>
      <c r="AH473" s="1">
        <f t="shared" si="204"/>
        <v>0</v>
      </c>
      <c r="AI473" s="1">
        <f t="shared" si="205"/>
        <v>1</v>
      </c>
    </row>
    <row r="474" spans="1:35" ht="14.25" customHeight="1" x14ac:dyDescent="0.25">
      <c r="A474" s="34">
        <v>1</v>
      </c>
      <c r="B474" s="34">
        <v>2</v>
      </c>
      <c r="C474" s="34">
        <v>7</v>
      </c>
      <c r="D474" s="35" t="s">
        <v>43</v>
      </c>
      <c r="E474" s="35" t="s">
        <v>543</v>
      </c>
      <c r="F474" s="35" t="s">
        <v>272</v>
      </c>
      <c r="G474" s="35" t="s">
        <v>181</v>
      </c>
      <c r="H474" s="35" t="s">
        <v>355</v>
      </c>
      <c r="I474" s="34" t="s">
        <v>427</v>
      </c>
      <c r="J474" s="34">
        <v>10</v>
      </c>
      <c r="K474" s="36" t="s">
        <v>716</v>
      </c>
      <c r="L474" s="36" t="s">
        <v>733</v>
      </c>
      <c r="M474" s="37" t="s">
        <v>1447</v>
      </c>
      <c r="N474" s="37" t="s">
        <v>1755</v>
      </c>
      <c r="O474" s="38">
        <v>1</v>
      </c>
      <c r="P474" s="38"/>
      <c r="Q474" s="35"/>
      <c r="S474" s="1">
        <f t="shared" si="208"/>
        <v>0</v>
      </c>
      <c r="T474" s="1">
        <f t="shared" si="209"/>
        <v>0</v>
      </c>
      <c r="U474" s="1">
        <f t="shared" si="210"/>
        <v>0</v>
      </c>
      <c r="V474" s="1">
        <f t="shared" si="211"/>
        <v>0</v>
      </c>
      <c r="W474" s="1">
        <f t="shared" si="212"/>
        <v>0</v>
      </c>
      <c r="X474" s="1">
        <f t="shared" si="213"/>
        <v>0</v>
      </c>
      <c r="Y474" s="1">
        <f t="shared" si="214"/>
        <v>0</v>
      </c>
      <c r="Z474" s="1">
        <f t="shared" si="215"/>
        <v>0</v>
      </c>
      <c r="AA474" s="1">
        <f t="shared" si="216"/>
        <v>0</v>
      </c>
      <c r="AB474" s="1">
        <f t="shared" si="217"/>
        <v>1</v>
      </c>
      <c r="AD474" s="1">
        <f t="shared" si="218"/>
        <v>0</v>
      </c>
      <c r="AE474" s="1">
        <f t="shared" si="219"/>
        <v>1</v>
      </c>
      <c r="AF474" s="1">
        <f t="shared" si="202"/>
        <v>0</v>
      </c>
      <c r="AG474" s="1">
        <f t="shared" si="203"/>
        <v>0</v>
      </c>
      <c r="AH474" s="1">
        <f t="shared" si="204"/>
        <v>0</v>
      </c>
      <c r="AI474" s="1">
        <f t="shared" si="205"/>
        <v>0</v>
      </c>
    </row>
    <row r="475" spans="1:35" ht="14.25" customHeight="1" x14ac:dyDescent="0.25">
      <c r="A475" s="34">
        <v>1</v>
      </c>
      <c r="B475" s="34">
        <v>2</v>
      </c>
      <c r="C475" s="34">
        <v>7</v>
      </c>
      <c r="D475" s="35" t="s">
        <v>43</v>
      </c>
      <c r="E475" s="35" t="s">
        <v>543</v>
      </c>
      <c r="F475" s="35" t="s">
        <v>273</v>
      </c>
      <c r="G475" s="35" t="s">
        <v>39</v>
      </c>
      <c r="H475" s="35" t="s">
        <v>355</v>
      </c>
      <c r="I475" s="34" t="s">
        <v>428</v>
      </c>
      <c r="J475" s="34">
        <v>5</v>
      </c>
      <c r="K475" s="36" t="s">
        <v>716</v>
      </c>
      <c r="L475" s="36" t="s">
        <v>733</v>
      </c>
      <c r="M475" s="37" t="s">
        <v>1447</v>
      </c>
      <c r="N475" s="37" t="s">
        <v>1755</v>
      </c>
      <c r="O475" s="38">
        <v>1</v>
      </c>
      <c r="P475" s="38"/>
      <c r="Q475" s="35"/>
      <c r="S475" s="1">
        <f t="shared" si="208"/>
        <v>0</v>
      </c>
      <c r="T475" s="1">
        <f t="shared" si="209"/>
        <v>0</v>
      </c>
      <c r="U475" s="1">
        <f t="shared" si="210"/>
        <v>0</v>
      </c>
      <c r="V475" s="1">
        <f t="shared" si="211"/>
        <v>0</v>
      </c>
      <c r="W475" s="1">
        <f t="shared" si="212"/>
        <v>1</v>
      </c>
      <c r="X475" s="1">
        <f t="shared" si="213"/>
        <v>0</v>
      </c>
      <c r="Y475" s="1">
        <f t="shared" si="214"/>
        <v>0</v>
      </c>
      <c r="Z475" s="1">
        <f t="shared" si="215"/>
        <v>0</v>
      </c>
      <c r="AA475" s="1">
        <f t="shared" si="216"/>
        <v>0</v>
      </c>
      <c r="AB475" s="1">
        <f t="shared" si="217"/>
        <v>0</v>
      </c>
      <c r="AD475" s="1">
        <f t="shared" si="218"/>
        <v>0</v>
      </c>
      <c r="AE475" s="1">
        <f t="shared" si="219"/>
        <v>1</v>
      </c>
      <c r="AF475" s="1">
        <f t="shared" si="202"/>
        <v>0</v>
      </c>
      <c r="AG475" s="1">
        <f t="shared" si="203"/>
        <v>0</v>
      </c>
      <c r="AH475" s="1">
        <f t="shared" si="204"/>
        <v>0</v>
      </c>
      <c r="AI475" s="1">
        <f t="shared" si="205"/>
        <v>0</v>
      </c>
    </row>
    <row r="476" spans="1:35" ht="14.25" customHeight="1" x14ac:dyDescent="0.25">
      <c r="A476" s="34">
        <v>1</v>
      </c>
      <c r="B476" s="34">
        <v>2</v>
      </c>
      <c r="C476" s="34">
        <v>7</v>
      </c>
      <c r="D476" s="35" t="s">
        <v>43</v>
      </c>
      <c r="E476" s="35" t="s">
        <v>543</v>
      </c>
      <c r="F476" s="35" t="s">
        <v>277</v>
      </c>
      <c r="G476" s="35" t="s">
        <v>195</v>
      </c>
      <c r="H476" s="35" t="s">
        <v>355</v>
      </c>
      <c r="I476" s="34" t="s">
        <v>432</v>
      </c>
      <c r="J476" s="34">
        <v>9</v>
      </c>
      <c r="K476" s="36" t="s">
        <v>716</v>
      </c>
      <c r="L476" s="36" t="s">
        <v>733</v>
      </c>
      <c r="M476" s="37" t="s">
        <v>1447</v>
      </c>
      <c r="N476" s="37" t="s">
        <v>1755</v>
      </c>
      <c r="O476" s="38">
        <v>1</v>
      </c>
      <c r="P476" s="38"/>
      <c r="Q476" s="35"/>
      <c r="S476" s="1">
        <f t="shared" si="208"/>
        <v>0</v>
      </c>
      <c r="T476" s="1">
        <f t="shared" si="209"/>
        <v>0</v>
      </c>
      <c r="U476" s="1">
        <f t="shared" si="210"/>
        <v>0</v>
      </c>
      <c r="V476" s="1">
        <f t="shared" si="211"/>
        <v>0</v>
      </c>
      <c r="W476" s="1">
        <f t="shared" si="212"/>
        <v>0</v>
      </c>
      <c r="X476" s="1">
        <f t="shared" si="213"/>
        <v>0</v>
      </c>
      <c r="Y476" s="1">
        <f t="shared" si="214"/>
        <v>0</v>
      </c>
      <c r="Z476" s="1">
        <f t="shared" si="215"/>
        <v>0</v>
      </c>
      <c r="AA476" s="1">
        <f t="shared" si="216"/>
        <v>1</v>
      </c>
      <c r="AB476" s="1">
        <f t="shared" si="217"/>
        <v>0</v>
      </c>
      <c r="AD476" s="1">
        <f t="shared" si="218"/>
        <v>0</v>
      </c>
      <c r="AE476" s="1">
        <f t="shared" si="219"/>
        <v>1</v>
      </c>
      <c r="AF476" s="1">
        <f t="shared" si="202"/>
        <v>0</v>
      </c>
      <c r="AG476" s="1">
        <f t="shared" si="203"/>
        <v>0</v>
      </c>
      <c r="AH476" s="1">
        <f t="shared" si="204"/>
        <v>0</v>
      </c>
      <c r="AI476" s="1">
        <f t="shared" si="205"/>
        <v>0</v>
      </c>
    </row>
    <row r="477" spans="1:35" ht="14.25" customHeight="1" x14ac:dyDescent="0.25">
      <c r="A477" s="47">
        <v>0</v>
      </c>
      <c r="B477" s="47">
        <v>2</v>
      </c>
      <c r="C477" s="47">
        <v>7</v>
      </c>
      <c r="D477" s="48" t="s">
        <v>1568</v>
      </c>
      <c r="E477" s="48" t="s">
        <v>28</v>
      </c>
      <c r="F477" s="48" t="s">
        <v>1569</v>
      </c>
      <c r="G477" s="48" t="s">
        <v>239</v>
      </c>
      <c r="H477" s="48" t="s">
        <v>355</v>
      </c>
      <c r="I477" s="47" t="s">
        <v>1702</v>
      </c>
      <c r="J477" s="47">
        <v>4</v>
      </c>
      <c r="K477" s="49" t="s">
        <v>717</v>
      </c>
      <c r="L477" s="49" t="s">
        <v>717</v>
      </c>
      <c r="M477" s="50" t="s">
        <v>735</v>
      </c>
      <c r="N477" s="50" t="s">
        <v>1742</v>
      </c>
      <c r="O477" s="51"/>
      <c r="P477" s="51"/>
      <c r="Q477" s="48"/>
      <c r="S477" s="1">
        <f t="shared" ref="S477:S478" si="220">IF(J477=$S$7,1,0)</f>
        <v>0</v>
      </c>
      <c r="T477" s="1">
        <f t="shared" ref="T477:T478" si="221">IF(J477=$T$7,1,0)</f>
        <v>0</v>
      </c>
      <c r="U477" s="1">
        <f t="shared" ref="U477:U478" si="222">IF(J477=$U$7,1,0)</f>
        <v>0</v>
      </c>
      <c r="V477" s="1">
        <f t="shared" ref="V477:V478" si="223">IF(J477=$V$7,1,0)</f>
        <v>1</v>
      </c>
      <c r="W477" s="1">
        <f t="shared" ref="W477:W478" si="224">IF(J477=$W$7,1,0)</f>
        <v>0</v>
      </c>
      <c r="X477" s="1">
        <f t="shared" ref="X477:X478" si="225">IF(J477=$X$7,1,0)</f>
        <v>0</v>
      </c>
      <c r="Y477" s="1">
        <f t="shared" ref="Y477:Y478" si="226">IF(J477=$Y$7,1,0)</f>
        <v>0</v>
      </c>
      <c r="Z477" s="1">
        <f t="shared" ref="Z477:Z478" si="227">IF(J477=$Z$7,1,0)</f>
        <v>0</v>
      </c>
      <c r="AA477" s="1">
        <f t="shared" ref="AA477:AA478" si="228">IF(J477=$AA$7,1,0)</f>
        <v>0</v>
      </c>
      <c r="AB477" s="1">
        <f t="shared" ref="AB477:AB478" si="229">IF(J477=$AB$7,1,0)</f>
        <v>0</v>
      </c>
      <c r="AD477" s="1">
        <f t="shared" ref="AD477:AD478" si="230">+O477*P477</f>
        <v>0</v>
      </c>
      <c r="AE477" s="1">
        <f t="shared" ref="AE477:AE478" si="231">O477*(1-P477)</f>
        <v>0</v>
      </c>
      <c r="AF477" s="1">
        <f t="shared" ref="AF477:AF478" si="232">+O477*P477*(1-A477)</f>
        <v>0</v>
      </c>
      <c r="AG477" s="1">
        <f t="shared" ref="AG477:AG478" si="233">O477*(1-P477)*(1-A477)</f>
        <v>0</v>
      </c>
      <c r="AH477" s="1">
        <f t="shared" ref="AH477:AH478" si="234">+P477*(1-A477)</f>
        <v>0</v>
      </c>
      <c r="AI477" s="1">
        <f t="shared" ref="AI477:AI478" si="235">+(1-A477)*(1-P477)</f>
        <v>1</v>
      </c>
    </row>
    <row r="478" spans="1:35" ht="14.25" customHeight="1" x14ac:dyDescent="0.25">
      <c r="A478" s="47">
        <v>0</v>
      </c>
      <c r="B478" s="47">
        <v>2</v>
      </c>
      <c r="C478" s="47">
        <v>7</v>
      </c>
      <c r="D478" s="48" t="s">
        <v>63</v>
      </c>
      <c r="E478" s="48" t="s">
        <v>44</v>
      </c>
      <c r="F478" s="48" t="s">
        <v>237</v>
      </c>
      <c r="G478" s="48" t="s">
        <v>201</v>
      </c>
      <c r="H478" s="48" t="s">
        <v>355</v>
      </c>
      <c r="I478" s="47" t="s">
        <v>403</v>
      </c>
      <c r="J478" s="47">
        <v>2</v>
      </c>
      <c r="K478" s="49" t="s">
        <v>717</v>
      </c>
      <c r="L478" s="49" t="s">
        <v>726</v>
      </c>
      <c r="M478" s="50" t="s">
        <v>739</v>
      </c>
      <c r="N478" s="50" t="s">
        <v>1742</v>
      </c>
      <c r="O478" s="51"/>
      <c r="P478" s="51"/>
      <c r="Q478" s="48"/>
      <c r="S478" s="1">
        <f t="shared" si="220"/>
        <v>0</v>
      </c>
      <c r="T478" s="1">
        <f t="shared" si="221"/>
        <v>1</v>
      </c>
      <c r="U478" s="1">
        <f t="shared" si="222"/>
        <v>0</v>
      </c>
      <c r="V478" s="1">
        <f t="shared" si="223"/>
        <v>0</v>
      </c>
      <c r="W478" s="1">
        <f t="shared" si="224"/>
        <v>0</v>
      </c>
      <c r="X478" s="1">
        <f t="shared" si="225"/>
        <v>0</v>
      </c>
      <c r="Y478" s="1">
        <f t="shared" si="226"/>
        <v>0</v>
      </c>
      <c r="Z478" s="1">
        <f t="shared" si="227"/>
        <v>0</v>
      </c>
      <c r="AA478" s="1">
        <f t="shared" si="228"/>
        <v>0</v>
      </c>
      <c r="AB478" s="1">
        <f t="shared" si="229"/>
        <v>0</v>
      </c>
      <c r="AD478" s="1">
        <f t="shared" si="230"/>
        <v>0</v>
      </c>
      <c r="AE478" s="1">
        <f t="shared" si="231"/>
        <v>0</v>
      </c>
      <c r="AF478" s="1">
        <f t="shared" si="232"/>
        <v>0</v>
      </c>
      <c r="AG478" s="1">
        <f t="shared" si="233"/>
        <v>0</v>
      </c>
      <c r="AH478" s="1">
        <f t="shared" si="234"/>
        <v>0</v>
      </c>
      <c r="AI478" s="1">
        <f t="shared" si="235"/>
        <v>1</v>
      </c>
    </row>
    <row r="479" spans="1:35" ht="14.25" customHeight="1" x14ac:dyDescent="0.25">
      <c r="A479" s="15"/>
      <c r="B479" s="15"/>
      <c r="C479" s="15"/>
      <c r="D479" s="20"/>
      <c r="E479" s="20"/>
      <c r="F479" s="20"/>
      <c r="G479" s="20"/>
      <c r="H479" s="20"/>
      <c r="I479" s="21"/>
      <c r="J479" s="15"/>
      <c r="K479" s="21"/>
      <c r="M479" s="19"/>
      <c r="N479" s="17"/>
      <c r="Q479" s="20"/>
    </row>
    <row r="480" spans="1:35" ht="14.25" customHeight="1" x14ac:dyDescent="0.25">
      <c r="A480" s="15"/>
      <c r="B480" s="15"/>
      <c r="C480" s="15"/>
      <c r="D480" s="20"/>
      <c r="E480" s="20"/>
      <c r="F480" s="20"/>
      <c r="G480" s="20"/>
      <c r="H480" s="20"/>
      <c r="I480" s="21"/>
      <c r="J480" s="15"/>
      <c r="K480" s="21"/>
      <c r="M480" s="19"/>
      <c r="N480" s="17"/>
      <c r="Q480" s="20"/>
    </row>
    <row r="481" spans="1:17" ht="14.25" customHeight="1" x14ac:dyDescent="0.25">
      <c r="A481" s="15"/>
      <c r="B481" s="15"/>
      <c r="C481" s="15"/>
      <c r="D481" s="20"/>
      <c r="E481" s="20"/>
      <c r="F481" s="20"/>
      <c r="G481" s="20"/>
      <c r="H481" s="20"/>
      <c r="I481" s="21"/>
      <c r="J481" s="15"/>
      <c r="K481" s="21"/>
      <c r="M481" s="19"/>
      <c r="N481" s="17"/>
      <c r="Q481" s="20"/>
    </row>
    <row r="482" spans="1:17" ht="14.25" customHeight="1" x14ac:dyDescent="0.25">
      <c r="A482" s="15"/>
      <c r="B482" s="15"/>
      <c r="C482" s="15"/>
      <c r="D482" s="20"/>
      <c r="E482" s="20"/>
      <c r="F482" s="20"/>
      <c r="G482" s="20"/>
      <c r="H482" s="20"/>
      <c r="I482" s="21"/>
      <c r="J482" s="15"/>
      <c r="K482" s="21"/>
      <c r="M482" s="19"/>
      <c r="N482" s="17"/>
      <c r="Q482" s="20"/>
    </row>
    <row r="483" spans="1:17" ht="14.25" customHeight="1" x14ac:dyDescent="0.25">
      <c r="A483" s="15"/>
      <c r="B483" s="15"/>
      <c r="C483" s="15"/>
      <c r="D483" s="20"/>
      <c r="E483" s="20"/>
      <c r="F483" s="20"/>
      <c r="G483" s="20"/>
      <c r="H483" s="20"/>
      <c r="I483" s="21"/>
      <c r="J483" s="15"/>
      <c r="K483" s="21"/>
      <c r="M483" s="19"/>
      <c r="N483" s="17"/>
      <c r="Q483" s="20"/>
    </row>
    <row r="484" spans="1:17" ht="14.25" customHeight="1" x14ac:dyDescent="0.25">
      <c r="A484" s="15"/>
      <c r="B484" s="15"/>
      <c r="C484" s="15"/>
      <c r="D484" s="20"/>
      <c r="E484" s="20"/>
      <c r="F484" s="20"/>
      <c r="G484" s="20"/>
      <c r="H484" s="20"/>
      <c r="I484" s="21"/>
      <c r="J484" s="15"/>
      <c r="K484" s="21"/>
      <c r="M484" s="19"/>
      <c r="N484" s="17"/>
      <c r="Q484" s="20"/>
    </row>
    <row r="485" spans="1:17" ht="14.25" customHeight="1" x14ac:dyDescent="0.25">
      <c r="A485" s="15"/>
      <c r="B485" s="15"/>
      <c r="C485" s="15"/>
      <c r="D485" s="20"/>
      <c r="E485" s="20"/>
      <c r="F485" s="20"/>
      <c r="G485" s="20"/>
      <c r="H485" s="20"/>
      <c r="I485" s="21"/>
      <c r="J485" s="15"/>
      <c r="K485" s="21"/>
      <c r="M485" s="19"/>
      <c r="N485" s="17"/>
      <c r="Q485" s="20"/>
    </row>
    <row r="486" spans="1:17" ht="14.25" customHeight="1" x14ac:dyDescent="0.25">
      <c r="A486" s="15"/>
      <c r="B486" s="15"/>
      <c r="C486" s="15"/>
      <c r="D486" s="20"/>
      <c r="E486" s="20"/>
      <c r="F486" s="20"/>
      <c r="G486" s="20"/>
      <c r="H486" s="20"/>
      <c r="I486" s="21"/>
      <c r="J486" s="15"/>
      <c r="K486" s="21"/>
      <c r="M486" s="19"/>
      <c r="N486" s="17"/>
      <c r="Q486" s="20"/>
    </row>
    <row r="487" spans="1:17" ht="14.25" customHeight="1" x14ac:dyDescent="0.25">
      <c r="A487" s="15"/>
      <c r="B487" s="15"/>
      <c r="C487" s="15"/>
      <c r="D487" s="20"/>
      <c r="E487" s="20"/>
      <c r="F487" s="20"/>
      <c r="G487" s="20"/>
      <c r="H487" s="20"/>
      <c r="I487" s="21"/>
      <c r="J487" s="15"/>
      <c r="K487" s="21"/>
      <c r="M487" s="19"/>
      <c r="N487" s="17"/>
      <c r="Q487" s="20"/>
    </row>
    <row r="488" spans="1:17" ht="14.25" customHeight="1" x14ac:dyDescent="0.25">
      <c r="A488" s="15"/>
      <c r="B488" s="15"/>
      <c r="C488" s="15"/>
      <c r="D488" s="20"/>
      <c r="E488" s="20"/>
      <c r="F488" s="20"/>
      <c r="G488" s="20"/>
      <c r="H488" s="20"/>
      <c r="I488" s="21"/>
      <c r="J488" s="15"/>
      <c r="K488" s="21"/>
      <c r="M488" s="19"/>
      <c r="N488" s="17"/>
      <c r="Q488" s="20"/>
    </row>
    <row r="489" spans="1:17" ht="14.25" customHeight="1" x14ac:dyDescent="0.25">
      <c r="A489" s="15"/>
      <c r="B489" s="15"/>
      <c r="C489" s="15"/>
      <c r="D489" s="20"/>
      <c r="E489" s="20"/>
      <c r="F489" s="20"/>
      <c r="G489" s="20"/>
      <c r="H489" s="20"/>
      <c r="I489" s="21"/>
      <c r="J489" s="15"/>
      <c r="K489" s="21"/>
      <c r="M489" s="19"/>
      <c r="N489" s="17"/>
      <c r="Q489" s="20"/>
    </row>
    <row r="490" spans="1:17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M490" s="19"/>
      <c r="N490" s="17"/>
      <c r="Q490" s="20"/>
    </row>
    <row r="491" spans="1:17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M491" s="19"/>
      <c r="N491" s="17"/>
      <c r="Q491" s="20"/>
    </row>
    <row r="492" spans="1:17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M492" s="19"/>
      <c r="N492" s="17"/>
      <c r="Q492" s="20"/>
    </row>
    <row r="493" spans="1:17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M493" s="19"/>
      <c r="N493" s="17"/>
      <c r="Q493" s="20"/>
    </row>
    <row r="494" spans="1:17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17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17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16"/>
      <c r="E770" s="16"/>
      <c r="F770" s="16"/>
      <c r="G770" s="16"/>
      <c r="H770" s="16"/>
      <c r="I770" s="15"/>
      <c r="J770" s="15"/>
      <c r="K770" s="10"/>
      <c r="M770" s="19"/>
      <c r="N770" s="17"/>
      <c r="Q770" s="16"/>
    </row>
    <row r="771" spans="1:17" ht="14.25" customHeight="1" x14ac:dyDescent="0.25">
      <c r="A771" s="15"/>
      <c r="B771" s="15"/>
      <c r="C771" s="15"/>
      <c r="D771" s="16"/>
      <c r="E771" s="16"/>
      <c r="F771" s="16"/>
      <c r="G771" s="16"/>
      <c r="H771" s="16"/>
      <c r="I771" s="15"/>
      <c r="J771" s="15"/>
      <c r="K771" s="10"/>
      <c r="M771" s="19"/>
      <c r="N771" s="17"/>
      <c r="Q771" s="16"/>
    </row>
    <row r="772" spans="1:17" ht="14.25" customHeight="1" x14ac:dyDescent="0.25">
      <c r="A772" s="15"/>
      <c r="B772" s="15"/>
      <c r="C772" s="15"/>
      <c r="D772" s="16"/>
      <c r="E772" s="16"/>
      <c r="F772" s="16"/>
      <c r="G772" s="16"/>
      <c r="H772" s="16"/>
      <c r="I772" s="15"/>
      <c r="J772" s="15"/>
      <c r="K772" s="10"/>
      <c r="M772" s="19"/>
      <c r="N772" s="17"/>
      <c r="Q772" s="16"/>
    </row>
    <row r="773" spans="1:17" ht="14.25" customHeight="1" x14ac:dyDescent="0.25">
      <c r="A773" s="15"/>
      <c r="B773" s="15"/>
      <c r="C773" s="15"/>
      <c r="D773" s="16"/>
      <c r="E773" s="16"/>
      <c r="F773" s="16"/>
      <c r="G773" s="16"/>
      <c r="H773" s="16"/>
      <c r="I773" s="15"/>
      <c r="J773" s="15"/>
      <c r="K773" s="10"/>
      <c r="M773" s="19"/>
      <c r="N773" s="17"/>
      <c r="Q773" s="16"/>
    </row>
    <row r="774" spans="1:17" ht="14.25" customHeight="1" x14ac:dyDescent="0.25">
      <c r="A774" s="15"/>
      <c r="B774" s="15"/>
      <c r="C774" s="15"/>
      <c r="D774" s="16"/>
      <c r="E774" s="16"/>
      <c r="F774" s="16"/>
      <c r="G774" s="16"/>
      <c r="H774" s="16"/>
      <c r="I774" s="15"/>
      <c r="J774" s="15"/>
      <c r="K774" s="10"/>
      <c r="M774" s="17"/>
      <c r="N774" s="17"/>
      <c r="Q774" s="16"/>
    </row>
    <row r="775" spans="1:17" ht="14.25" customHeight="1" x14ac:dyDescent="0.25">
      <c r="A775" s="15"/>
      <c r="B775" s="15"/>
      <c r="C775" s="15"/>
      <c r="D775" s="16"/>
      <c r="E775" s="16"/>
      <c r="F775" s="16"/>
      <c r="G775" s="16"/>
      <c r="H775" s="16"/>
      <c r="I775" s="15"/>
      <c r="J775" s="15"/>
      <c r="K775" s="10"/>
      <c r="M775" s="17"/>
      <c r="N775" s="17"/>
      <c r="Q775" s="16"/>
    </row>
    <row r="776" spans="1:17" ht="14.25" customHeight="1" x14ac:dyDescent="0.25">
      <c r="A776" s="15"/>
      <c r="B776" s="15"/>
      <c r="C776" s="15"/>
      <c r="D776" s="16"/>
      <c r="E776" s="16"/>
      <c r="F776" s="16"/>
      <c r="G776" s="16"/>
      <c r="H776" s="16"/>
      <c r="I776" s="15"/>
      <c r="J776" s="15"/>
      <c r="K776" s="10"/>
      <c r="M776" s="17"/>
      <c r="N776" s="17"/>
      <c r="Q776" s="16"/>
    </row>
    <row r="777" spans="1:17" ht="14.25" customHeight="1" x14ac:dyDescent="0.25">
      <c r="A777" s="15"/>
      <c r="B777" s="15"/>
      <c r="C777" s="15"/>
      <c r="D777" s="16"/>
      <c r="E777" s="16"/>
      <c r="F777" s="16"/>
      <c r="G777" s="16"/>
      <c r="H777" s="16"/>
      <c r="I777" s="15"/>
      <c r="J777" s="15"/>
      <c r="K777" s="10"/>
      <c r="M777" s="17"/>
      <c r="N777" s="17"/>
      <c r="Q777" s="16"/>
    </row>
  </sheetData>
  <autoFilter ref="A7:Q478" xr:uid="{AEE30112-88BB-441D-AEFC-A7A733AB1798}">
    <sortState xmlns:xlrd2="http://schemas.microsoft.com/office/spreadsheetml/2017/richdata2" ref="A8:Q454">
      <sortCondition ref="B8:B454"/>
      <sortCondition ref="C8:C454"/>
      <sortCondition ref="D8:D454"/>
      <sortCondition ref="A8:A454"/>
    </sortState>
  </autoFilter>
  <sortState xmlns:xlrd2="http://schemas.microsoft.com/office/spreadsheetml/2017/richdata2" ref="A8:Q478">
    <sortCondition ref="B8:B478"/>
    <sortCondition ref="C8:C478"/>
    <sortCondition ref="D8:D478"/>
    <sortCondition ref="A8:A478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2026-06-01T14:55:02Z</dcterms:modified>
</cp:coreProperties>
</file>